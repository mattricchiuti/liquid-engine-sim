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<sst xmlns="http://schemas.openxmlformats.org/spreadsheetml/2006/main" count="169" uniqueCount="79">
  <si>
    <t xml:space="preserve">SIMULATION SETUP</t>
  </si>
  <si>
    <t xml:space="preserve">THERMOFLUID PERFORMANCE</t>
  </si>
  <si>
    <t xml:space="preserve">Sweep Setup</t>
  </si>
  <si>
    <t xml:space="preserve">Fuel Properties</t>
  </si>
  <si>
    <t xml:space="preserve">Isopropanol</t>
  </si>
  <si>
    <t xml:space="preserve">Parameter</t>
  </si>
  <si>
    <t xml:space="preserve">min</t>
  </si>
  <si>
    <t xml:space="preserve">max</t>
  </si>
  <si>
    <t xml:space="preserve">step</t>
  </si>
  <si>
    <t xml:space="preserve">0/1</t>
  </si>
  <si>
    <t xml:space="preserve">Units = input's units</t>
  </si>
  <si>
    <t xml:space="preserve">Imperial</t>
  </si>
  <si>
    <t xml:space="preserve">Metric</t>
  </si>
  <si>
    <t xml:space="preserve">Notes</t>
  </si>
  <si>
    <t xml:space="preserve">Fuel Density</t>
  </si>
  <si>
    <t xml:space="preserve">lbm/ft3</t>
  </si>
  <si>
    <t xml:space="preserve">kg/m3</t>
  </si>
  <si>
    <t xml:space="preserve">Fuel Dynamic Viscosity</t>
  </si>
  <si>
    <t xml:space="preserve">cP</t>
  </si>
  <si>
    <t xml:space="preserve">Ambient Conditions</t>
  </si>
  <si>
    <t xml:space="preserve">Efficiencies and Blowdown Model</t>
  </si>
  <si>
    <t xml:space="preserve">Timestep</t>
  </si>
  <si>
    <t xml:space="preserve">s</t>
  </si>
  <si>
    <t xml:space="preserve">C* Efficiency</t>
  </si>
  <si>
    <t xml:space="preserve">Sim Duration</t>
  </si>
  <si>
    <t xml:space="preserve">Nozzle Efficiency</t>
  </si>
  <si>
    <t xml:space="preserve">Ambient Temperature</t>
  </si>
  <si>
    <t xml:space="preserve">F</t>
  </si>
  <si>
    <t xml:space="preserve">C</t>
  </si>
  <si>
    <t xml:space="preserve">Decay Constant (liquid)</t>
  </si>
  <si>
    <t xml:space="preserve">Nitrous Temperature</t>
  </si>
  <si>
    <t xml:space="preserve">Decay Constant (vapor)</t>
  </si>
  <si>
    <t xml:space="preserve">1/s</t>
  </si>
  <si>
    <t xml:space="preserve">Ambient Pressure</t>
  </si>
  <si>
    <t xml:space="preserve">psi</t>
  </si>
  <si>
    <t xml:space="preserve">Pa</t>
  </si>
  <si>
    <t xml:space="preserve">Ambient at FAR</t>
  </si>
  <si>
    <t xml:space="preserve">Feed System ΔP</t>
  </si>
  <si>
    <t xml:space="preserve">Oxidizer Feed Cv</t>
  </si>
  <si>
    <t xml:space="preserve">GEOMETRIC CHARACTERISTICS</t>
  </si>
  <si>
    <t xml:space="preserve">Fuel Feed Cv</t>
  </si>
  <si>
    <t xml:space="preserve">Fuel Piston Loss</t>
  </si>
  <si>
    <t xml:space="preserve">Tank</t>
  </si>
  <si>
    <t xml:space="preserve">Tank OD</t>
  </si>
  <si>
    <t xml:space="preserve">in</t>
  </si>
  <si>
    <t xml:space="preserve">m</t>
  </si>
  <si>
    <t xml:space="preserve">Tank Wall Thickness</t>
  </si>
  <si>
    <t xml:space="preserve">Tank Length</t>
  </si>
  <si>
    <t xml:space="preserve">Bulkhead Insertion Length</t>
  </si>
  <si>
    <t xml:space="preserve">Piston Length</t>
  </si>
  <si>
    <t xml:space="preserve">Static Vent Position</t>
  </si>
  <si>
    <t xml:space="preserve">Measured from tank aft</t>
  </si>
  <si>
    <t xml:space="preserve">Static Vent Diameter</t>
  </si>
  <si>
    <t xml:space="preserve">Oxidizer Length</t>
  </si>
  <si>
    <t xml:space="preserve">Fuel Length</t>
  </si>
  <si>
    <t xml:space="preserve">Feed System</t>
  </si>
  <si>
    <t xml:space="preserve">Ox Line Length</t>
  </si>
  <si>
    <t xml:space="preserve">Ox Line Diameter</t>
  </si>
  <si>
    <t xml:space="preserve">Ox Line Roughness</t>
  </si>
  <si>
    <t xml:space="preserve">Fuel Line Length</t>
  </si>
  <si>
    <t xml:space="preserve">Fuel Line Diameter</t>
  </si>
  <si>
    <t xml:space="preserve">Fuel Line Roughness</t>
  </si>
  <si>
    <t xml:space="preserve">Injector</t>
  </si>
  <si>
    <t xml:space="preserve">No. Oxidizer Holes</t>
  </si>
  <si>
    <t xml:space="preserve">Oxidizer Hole Diameter</t>
  </si>
  <si>
    <t xml:space="preserve">Oxidizer Cd</t>
  </si>
  <si>
    <t xml:space="preserve">No. Fuel Holes</t>
  </si>
  <si>
    <t xml:space="preserve">Fuel Hole Diameter</t>
  </si>
  <si>
    <t xml:space="preserve">Fuel Cd</t>
  </si>
  <si>
    <t xml:space="preserve">Chamber </t>
  </si>
  <si>
    <t xml:space="preserve">Chamber ID</t>
  </si>
  <si>
    <t xml:space="preserve">Chamber Wall Thickness</t>
  </si>
  <si>
    <t xml:space="preserve">Chamber Length</t>
  </si>
  <si>
    <t xml:space="preserve">Nozzle</t>
  </si>
  <si>
    <t xml:space="preserve">Throat Diameter</t>
  </si>
  <si>
    <t xml:space="preserve">Exit Diameter</t>
  </si>
  <si>
    <t xml:space="preserve">Exit Half Angle</t>
  </si>
  <si>
    <t xml:space="preserve">deg</t>
  </si>
  <si>
    <t xml:space="preserve">Sweepable parameters (dropdown source for the sweep block)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</si>
</sst>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0"/>
    <numFmt numFmtId="167" formatCode="0.0000"/>
    <numFmt numFmtId="168" formatCode="0.00E+00"/>
    <numFmt numFmtId="169" formatCode="0E+00"/>
    <numFmt numFmtId="170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6B27C"/>
        <bgColor rgb="FF808080"/>
      </patternFill>
    </fill>
    <fill>
      <patternFill patternType="solid">
        <fgColor rgb="FFEFBDEB"/>
        <bgColor rgb="FFFFDBB6"/>
      </patternFill>
    </fill>
    <fill>
      <patternFill patternType="solid">
        <fgColor rgb="FFFFDBB6"/>
        <bgColor rgb="FFFFFFCC"/>
      </patternFill>
    </fill>
    <fill>
      <patternFill patternType="solid">
        <fgColor rgb="FFB4C7DC"/>
        <bgColor rgb="FF99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FBD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6B27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5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M33" activeCellId="0" sqref="M3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1" style="1" width="3.24"/>
    <col collapsed="false" customWidth="true" hidden="false" outlineLevel="0" max="3" min="3" style="1" width="23.27"/>
    <col collapsed="false" customWidth="true" hidden="false" outlineLevel="0" max="7" min="4" style="1" width="7.78"/>
    <col collapsed="false" customWidth="true" hidden="false" outlineLevel="0" max="8" min="8" style="1" width="25.74"/>
    <col collapsed="false" customWidth="true" hidden="false" outlineLevel="0" max="11" min="9" style="1" width="3.24"/>
    <col collapsed="false" customWidth="true" hidden="false" outlineLevel="0" max="12" min="12" style="1" width="22.76"/>
    <col collapsed="false" customWidth="true" hidden="false" outlineLevel="0" max="16" min="13" style="1" width="7.78"/>
    <col collapsed="false" customWidth="true" hidden="false" outlineLevel="0" max="20" min="18" style="1" width="3.24"/>
    <col collapsed="false" customWidth="true" hidden="false" outlineLevel="0" max="27" min="27" style="1" width="3.24"/>
  </cols>
  <sheetData>
    <row r="2" customFormat="false" ht="13.8" hidden="false" customHeight="false" outlineLevel="0" collapsed="false">
      <c r="B2" s="2" t="s">
        <v>0</v>
      </c>
      <c r="K2" s="2" t="s">
        <v>1</v>
      </c>
    </row>
    <row r="3" customFormat="false" ht="13.8" hidden="false" customHeight="false" outlineLevel="0" collapsed="false">
      <c r="B3" s="3"/>
      <c r="C3" s="4"/>
      <c r="D3" s="4"/>
      <c r="E3" s="4"/>
      <c r="F3" s="4"/>
      <c r="G3" s="5"/>
      <c r="H3" s="5"/>
      <c r="I3" s="6"/>
      <c r="K3" s="7"/>
      <c r="L3" s="8"/>
      <c r="M3" s="8"/>
      <c r="N3" s="8"/>
      <c r="O3" s="8"/>
      <c r="P3" s="9"/>
      <c r="Q3" s="9"/>
      <c r="R3" s="10"/>
    </row>
    <row r="4" customFormat="false" ht="13.8" hidden="false" customHeight="false" outlineLevel="0" collapsed="false">
      <c r="B4" s="11"/>
      <c r="C4" s="12" t="s">
        <v>2</v>
      </c>
      <c r="D4" s="13"/>
      <c r="E4" s="13"/>
      <c r="F4" s="13"/>
      <c r="G4" s="13"/>
      <c r="H4" s="14"/>
      <c r="I4" s="15"/>
      <c r="K4" s="16"/>
      <c r="L4" s="17" t="s">
        <v>3</v>
      </c>
      <c r="M4" s="18" t="s">
        <v>4</v>
      </c>
      <c r="N4" s="18"/>
      <c r="O4" s="19"/>
      <c r="P4" s="19"/>
      <c r="Q4" s="19"/>
      <c r="R4" s="20"/>
    </row>
    <row r="5" customFormat="false" ht="13.8" hidden="false" customHeight="false" outlineLevel="0" collapsed="false">
      <c r="B5" s="11"/>
      <c r="C5" s="21" t="s">
        <v>5</v>
      </c>
      <c r="D5" s="22" t="s">
        <v>6</v>
      </c>
      <c r="E5" s="23" t="s">
        <v>7</v>
      </c>
      <c r="F5" s="22" t="s">
        <v>8</v>
      </c>
      <c r="G5" s="21" t="s">
        <v>9</v>
      </c>
      <c r="H5" s="21" t="s">
        <v>10</v>
      </c>
      <c r="I5" s="15"/>
      <c r="K5" s="16"/>
      <c r="L5" s="24" t="s">
        <v>5</v>
      </c>
      <c r="M5" s="25" t="s">
        <v>11</v>
      </c>
      <c r="N5" s="25"/>
      <c r="O5" s="25" t="s">
        <v>12</v>
      </c>
      <c r="P5" s="25"/>
      <c r="Q5" s="24" t="s">
        <v>13</v>
      </c>
      <c r="R5" s="20"/>
    </row>
    <row r="6" customFormat="false" ht="13.8" hidden="false" customHeight="false" outlineLevel="0" collapsed="false">
      <c r="B6" s="11"/>
      <c r="C6" s="26"/>
      <c r="D6" s="27"/>
      <c r="E6" s="26"/>
      <c r="F6" s="28"/>
      <c r="G6" s="26" t="n">
        <v>0</v>
      </c>
      <c r="H6" s="21"/>
      <c r="I6" s="15"/>
      <c r="K6" s="16"/>
      <c r="L6" s="29" t="s">
        <v>14</v>
      </c>
      <c r="M6" s="29" t="n">
        <f aca="false">O6/16.0185</f>
        <v>49.0682648188033</v>
      </c>
      <c r="N6" s="29" t="s">
        <v>15</v>
      </c>
      <c r="O6" s="30" t="n">
        <v>786</v>
      </c>
      <c r="P6" s="29" t="s">
        <v>16</v>
      </c>
      <c r="Q6" s="29"/>
      <c r="R6" s="20"/>
    </row>
    <row r="7" customFormat="false" ht="13.8" hidden="false" customHeight="false" outlineLevel="0" collapsed="false">
      <c r="B7" s="11"/>
      <c r="C7" s="26"/>
      <c r="D7" s="27"/>
      <c r="E7" s="26"/>
      <c r="F7" s="28"/>
      <c r="G7" s="26" t="n">
        <v>0</v>
      </c>
      <c r="H7" s="21"/>
      <c r="I7" s="15"/>
      <c r="K7" s="16"/>
      <c r="L7" s="29" t="s">
        <v>17</v>
      </c>
      <c r="M7" s="29"/>
      <c r="N7" s="29"/>
      <c r="O7" s="30" t="n">
        <v>2.5</v>
      </c>
      <c r="P7" s="29" t="s">
        <v>18</v>
      </c>
      <c r="Q7" s="29"/>
      <c r="R7" s="20"/>
    </row>
    <row r="8" customFormat="false" ht="13.8" hidden="false" customHeight="false" outlineLevel="0" collapsed="false">
      <c r="B8" s="11"/>
      <c r="C8" s="12" t="s">
        <v>19</v>
      </c>
      <c r="D8" s="31"/>
      <c r="E8" s="31"/>
      <c r="F8" s="31"/>
      <c r="G8" s="31"/>
      <c r="H8" s="14"/>
      <c r="I8" s="15"/>
      <c r="K8" s="16"/>
      <c r="L8" s="19"/>
      <c r="M8" s="19"/>
      <c r="N8" s="19"/>
      <c r="O8" s="19"/>
      <c r="P8" s="19"/>
      <c r="Q8" s="19"/>
      <c r="R8" s="20"/>
    </row>
    <row r="9" customFormat="false" ht="13.8" hidden="false" customHeight="false" outlineLevel="0" collapsed="false">
      <c r="B9" s="11"/>
      <c r="C9" s="24" t="s">
        <v>5</v>
      </c>
      <c r="D9" s="25" t="s">
        <v>11</v>
      </c>
      <c r="E9" s="25"/>
      <c r="F9" s="25" t="s">
        <v>12</v>
      </c>
      <c r="G9" s="25"/>
      <c r="H9" s="24" t="s">
        <v>13</v>
      </c>
      <c r="I9" s="15"/>
      <c r="K9" s="16"/>
      <c r="L9" s="32" t="s">
        <v>20</v>
      </c>
      <c r="M9" s="33"/>
      <c r="N9" s="33"/>
      <c r="O9" s="33"/>
      <c r="P9" s="33"/>
      <c r="Q9" s="19"/>
      <c r="R9" s="20"/>
    </row>
    <row r="10" customFormat="false" ht="13.8" hidden="false" customHeight="false" outlineLevel="0" collapsed="false">
      <c r="B10" s="11"/>
      <c r="C10" s="29" t="s">
        <v>21</v>
      </c>
      <c r="D10" s="30" t="n">
        <v>0.01</v>
      </c>
      <c r="E10" s="29" t="s">
        <v>22</v>
      </c>
      <c r="F10" s="29"/>
      <c r="G10" s="29"/>
      <c r="H10" s="29"/>
      <c r="I10" s="15"/>
      <c r="K10" s="16"/>
      <c r="L10" s="29" t="s">
        <v>23</v>
      </c>
      <c r="M10" s="30" t="n">
        <v>0.65</v>
      </c>
      <c r="N10" s="29"/>
      <c r="O10" s="29"/>
      <c r="P10" s="29"/>
      <c r="Q10" s="29"/>
      <c r="R10" s="20"/>
    </row>
    <row r="11" customFormat="false" ht="13.8" hidden="false" customHeight="false" outlineLevel="0" collapsed="false">
      <c r="B11" s="11"/>
      <c r="C11" s="29" t="s">
        <v>24</v>
      </c>
      <c r="D11" s="30" t="n">
        <v>30</v>
      </c>
      <c r="E11" s="29" t="s">
        <v>22</v>
      </c>
      <c r="F11" s="29"/>
      <c r="G11" s="29"/>
      <c r="H11" s="29"/>
      <c r="I11" s="15"/>
      <c r="K11" s="16"/>
      <c r="L11" s="29" t="s">
        <v>25</v>
      </c>
      <c r="M11" s="30" t="n">
        <v>0.95</v>
      </c>
      <c r="N11" s="29"/>
      <c r="O11" s="29"/>
      <c r="P11" s="29"/>
      <c r="Q11" s="29"/>
      <c r="R11" s="20"/>
    </row>
    <row r="12" customFormat="false" ht="13.8" hidden="false" customHeight="false" outlineLevel="0" collapsed="false">
      <c r="B12" s="11"/>
      <c r="C12" s="29" t="s">
        <v>26</v>
      </c>
      <c r="D12" s="30" t="n">
        <v>60</v>
      </c>
      <c r="E12" s="29" t="s">
        <v>27</v>
      </c>
      <c r="F12" s="34" t="n">
        <f aca="false">(D12-32)/1.8</f>
        <v>15.5555555555556</v>
      </c>
      <c r="G12" s="29" t="s">
        <v>28</v>
      </c>
      <c r="H12" s="29"/>
      <c r="I12" s="15"/>
      <c r="K12" s="16"/>
      <c r="L12" s="29" t="s">
        <v>29</v>
      </c>
      <c r="M12" s="30" t="n">
        <v>0.7</v>
      </c>
      <c r="N12" s="29"/>
      <c r="O12" s="29"/>
      <c r="P12" s="29"/>
      <c r="Q12" s="29"/>
      <c r="R12" s="20"/>
    </row>
    <row r="13" customFormat="false" ht="13.8" hidden="false" customHeight="false" outlineLevel="0" collapsed="false">
      <c r="B13" s="11"/>
      <c r="C13" s="29" t="s">
        <v>30</v>
      </c>
      <c r="D13" s="29" t="n">
        <f aca="false">D12-10</f>
        <v>50</v>
      </c>
      <c r="E13" s="29" t="s">
        <v>27</v>
      </c>
      <c r="F13" s="34" t="n">
        <f aca="false">(D13-32)/1.8</f>
        <v>10</v>
      </c>
      <c r="G13" s="29" t="s">
        <v>28</v>
      </c>
      <c r="H13" s="29"/>
      <c r="I13" s="15"/>
      <c r="K13" s="16"/>
      <c r="L13" s="29" t="s">
        <v>31</v>
      </c>
      <c r="M13" s="30" t="n">
        <v>0.25</v>
      </c>
      <c r="N13" s="29" t="s">
        <v>32</v>
      </c>
      <c r="O13" s="29"/>
      <c r="P13" s="29"/>
      <c r="Q13" s="29"/>
      <c r="R13" s="20"/>
    </row>
    <row r="14" customFormat="false" ht="13.8" hidden="false" customHeight="false" outlineLevel="0" collapsed="false">
      <c r="B14" s="11"/>
      <c r="C14" s="29" t="s">
        <v>33</v>
      </c>
      <c r="D14" s="30" t="n">
        <v>13.5</v>
      </c>
      <c r="E14" s="29" t="s">
        <v>34</v>
      </c>
      <c r="F14" s="29" t="n">
        <f aca="false">D14*6895</f>
        <v>93082.5</v>
      </c>
      <c r="G14" s="29" t="s">
        <v>35</v>
      </c>
      <c r="H14" s="29" t="s">
        <v>36</v>
      </c>
      <c r="I14" s="15"/>
      <c r="K14" s="16"/>
      <c r="L14" s="33"/>
      <c r="M14" s="33"/>
      <c r="N14" s="33"/>
      <c r="O14" s="33"/>
      <c r="P14" s="33"/>
      <c r="Q14" s="33"/>
      <c r="R14" s="20"/>
    </row>
    <row r="15" customFormat="false" ht="13.8" hidden="false" customHeight="false" outlineLevel="0" collapsed="false">
      <c r="B15" s="35"/>
      <c r="C15" s="36"/>
      <c r="D15" s="36"/>
      <c r="E15" s="36"/>
      <c r="F15" s="36"/>
      <c r="G15" s="36"/>
      <c r="H15" s="36"/>
      <c r="I15" s="37"/>
      <c r="K15" s="16"/>
      <c r="L15" s="32" t="s">
        <v>37</v>
      </c>
      <c r="M15" s="33"/>
      <c r="N15" s="33"/>
      <c r="O15" s="33"/>
      <c r="P15" s="33"/>
      <c r="Q15" s="33"/>
      <c r="R15" s="20"/>
    </row>
    <row r="16" customFormat="false" ht="13.8" hidden="false" customHeight="false" outlineLevel="0" collapsed="false">
      <c r="K16" s="16"/>
      <c r="L16" s="29" t="s">
        <v>38</v>
      </c>
      <c r="M16" s="30" t="n">
        <v>1.6</v>
      </c>
      <c r="N16" s="29"/>
      <c r="O16" s="29"/>
      <c r="P16" s="29"/>
      <c r="Q16" s="29"/>
      <c r="R16" s="20"/>
    </row>
    <row r="17" customFormat="false" ht="13.8" hidden="false" customHeight="false" outlineLevel="0" collapsed="false">
      <c r="B17" s="2" t="s">
        <v>39</v>
      </c>
      <c r="K17" s="16"/>
      <c r="L17" s="29" t="s">
        <v>40</v>
      </c>
      <c r="M17" s="30" t="n">
        <v>1.6</v>
      </c>
      <c r="N17" s="29"/>
      <c r="O17" s="29"/>
      <c r="P17" s="29"/>
      <c r="Q17" s="29"/>
      <c r="R17" s="20"/>
    </row>
    <row r="18" customFormat="false" ht="13.8" hidden="false" customHeight="false" outlineLevel="0" collapsed="false">
      <c r="B18" s="38"/>
      <c r="C18" s="39"/>
      <c r="D18" s="39"/>
      <c r="E18" s="39"/>
      <c r="F18" s="39"/>
      <c r="G18" s="40"/>
      <c r="H18" s="40"/>
      <c r="I18" s="41"/>
      <c r="K18" s="16"/>
      <c r="L18" s="29" t="s">
        <v>41</v>
      </c>
      <c r="M18" s="30" t="n">
        <v>15</v>
      </c>
      <c r="N18" s="29" t="s">
        <v>34</v>
      </c>
      <c r="O18" s="29" t="n">
        <f aca="false">M18*6895</f>
        <v>103425</v>
      </c>
      <c r="P18" s="29" t="s">
        <v>35</v>
      </c>
      <c r="Q18" s="29"/>
      <c r="R18" s="20"/>
    </row>
    <row r="19" customFormat="false" ht="13.8" hidden="false" customHeight="false" outlineLevel="0" collapsed="false">
      <c r="B19" s="42"/>
      <c r="C19" s="43" t="s">
        <v>42</v>
      </c>
      <c r="D19" s="44"/>
      <c r="E19" s="44"/>
      <c r="F19" s="44"/>
      <c r="G19" s="44"/>
      <c r="H19" s="45"/>
      <c r="I19" s="46"/>
      <c r="K19" s="16"/>
      <c r="L19" s="19"/>
      <c r="M19" s="19"/>
      <c r="N19" s="19"/>
      <c r="O19" s="19"/>
      <c r="P19" s="19"/>
      <c r="Q19" s="19"/>
      <c r="R19" s="20"/>
    </row>
    <row r="20" customFormat="false" ht="13.8" hidden="false" customHeight="false" outlineLevel="0" collapsed="false">
      <c r="B20" s="42"/>
      <c r="C20" s="29" t="s">
        <v>43</v>
      </c>
      <c r="D20" s="30" t="n">
        <v>4</v>
      </c>
      <c r="E20" s="29" t="s">
        <v>44</v>
      </c>
      <c r="F20" s="47" t="n">
        <f aca="false">D20*0.0254</f>
        <v>0.1016</v>
      </c>
      <c r="G20" s="29" t="s">
        <v>45</v>
      </c>
      <c r="H20" s="29"/>
      <c r="I20" s="46"/>
      <c r="K20" s="16"/>
      <c r="L20" s="19"/>
      <c r="M20" s="19"/>
      <c r="N20" s="19"/>
      <c r="O20" s="19"/>
      <c r="P20" s="19"/>
      <c r="Q20" s="19"/>
      <c r="R20" s="20"/>
    </row>
    <row r="21" customFormat="false" ht="13.8" hidden="false" customHeight="false" outlineLevel="0" collapsed="false">
      <c r="B21" s="42"/>
      <c r="C21" s="29" t="s">
        <v>46</v>
      </c>
      <c r="D21" s="30" t="n">
        <v>0.125</v>
      </c>
      <c r="E21" s="29" t="s">
        <v>44</v>
      </c>
      <c r="F21" s="47" t="n">
        <f aca="false">D21*0.0254</f>
        <v>0.003175</v>
      </c>
      <c r="G21" s="29" t="s">
        <v>45</v>
      </c>
      <c r="H21" s="29"/>
      <c r="I21" s="46"/>
      <c r="K21" s="16"/>
      <c r="L21" s="19"/>
      <c r="M21" s="19"/>
      <c r="N21" s="19"/>
      <c r="O21" s="19"/>
      <c r="P21" s="19"/>
      <c r="Q21" s="19"/>
      <c r="R21" s="20"/>
    </row>
    <row r="22" customFormat="false" ht="13.8" hidden="false" customHeight="false" outlineLevel="0" collapsed="false">
      <c r="B22" s="42"/>
      <c r="C22" s="29" t="s">
        <v>47</v>
      </c>
      <c r="D22" s="30" t="n">
        <v>36</v>
      </c>
      <c r="E22" s="29" t="s">
        <v>44</v>
      </c>
      <c r="F22" s="47" t="n">
        <f aca="false">D22*0.0254</f>
        <v>0.9144</v>
      </c>
      <c r="G22" s="29" t="s">
        <v>45</v>
      </c>
      <c r="H22" s="29"/>
      <c r="I22" s="46"/>
      <c r="K22" s="16"/>
      <c r="L22" s="19"/>
      <c r="M22" s="19"/>
      <c r="N22" s="19"/>
      <c r="O22" s="19"/>
      <c r="P22" s="19"/>
      <c r="Q22" s="19"/>
      <c r="R22" s="20"/>
    </row>
    <row r="23" customFormat="false" ht="13.8" hidden="false" customHeight="false" outlineLevel="0" collapsed="false">
      <c r="B23" s="42"/>
      <c r="C23" s="29" t="s">
        <v>48</v>
      </c>
      <c r="D23" s="30" t="n">
        <v>1.5</v>
      </c>
      <c r="E23" s="29" t="s">
        <v>44</v>
      </c>
      <c r="F23" s="47" t="n">
        <f aca="false">D23*0.0254</f>
        <v>0.0381</v>
      </c>
      <c r="G23" s="29" t="s">
        <v>45</v>
      </c>
      <c r="H23" s="29"/>
      <c r="I23" s="46"/>
      <c r="K23" s="16"/>
      <c r="L23" s="19"/>
      <c r="M23" s="19"/>
      <c r="N23" s="19"/>
      <c r="O23" s="19"/>
      <c r="P23" s="19"/>
      <c r="Q23" s="19"/>
      <c r="R23" s="20"/>
    </row>
    <row r="24" customFormat="false" ht="13.8" hidden="false" customHeight="false" outlineLevel="0" collapsed="false">
      <c r="B24" s="42"/>
      <c r="C24" s="29" t="s">
        <v>49</v>
      </c>
      <c r="D24" s="30" t="n">
        <v>3</v>
      </c>
      <c r="E24" s="29" t="s">
        <v>44</v>
      </c>
      <c r="F24" s="47" t="n">
        <f aca="false">D24*0.0254</f>
        <v>0.0762</v>
      </c>
      <c r="G24" s="29" t="s">
        <v>45</v>
      </c>
      <c r="H24" s="29"/>
      <c r="I24" s="46"/>
      <c r="K24" s="16"/>
      <c r="L24" s="19"/>
      <c r="M24" s="19"/>
      <c r="N24" s="19"/>
      <c r="O24" s="19"/>
      <c r="P24" s="19"/>
      <c r="Q24" s="19"/>
      <c r="R24" s="20"/>
    </row>
    <row r="25" customFormat="false" ht="13.8" hidden="false" customHeight="false" outlineLevel="0" collapsed="false">
      <c r="B25" s="42"/>
      <c r="C25" s="29" t="s">
        <v>50</v>
      </c>
      <c r="D25" s="30" t="n">
        <v>22.5</v>
      </c>
      <c r="E25" s="29" t="s">
        <v>44</v>
      </c>
      <c r="F25" s="47" t="n">
        <f aca="false">D25*0.0254</f>
        <v>0.5715</v>
      </c>
      <c r="G25" s="29" t="s">
        <v>45</v>
      </c>
      <c r="H25" s="29" t="s">
        <v>51</v>
      </c>
      <c r="I25" s="46"/>
      <c r="K25" s="16"/>
      <c r="L25" s="19"/>
      <c r="M25" s="19"/>
      <c r="N25" s="19"/>
      <c r="O25" s="19"/>
      <c r="P25" s="19"/>
      <c r="Q25" s="19"/>
      <c r="R25" s="20"/>
    </row>
    <row r="26" customFormat="false" ht="13.8" hidden="false" customHeight="false" outlineLevel="0" collapsed="false">
      <c r="B26" s="42"/>
      <c r="C26" s="29" t="s">
        <v>52</v>
      </c>
      <c r="D26" s="48" t="n">
        <f aca="false">F26/0.0254</f>
        <v>0.0393700787401575</v>
      </c>
      <c r="E26" s="29" t="s">
        <v>44</v>
      </c>
      <c r="F26" s="30" t="n">
        <v>0.001</v>
      </c>
      <c r="G26" s="29" t="s">
        <v>45</v>
      </c>
      <c r="H26" s="29"/>
      <c r="I26" s="46"/>
      <c r="K26" s="16"/>
      <c r="L26" s="19"/>
      <c r="M26" s="19"/>
      <c r="N26" s="19"/>
      <c r="O26" s="19"/>
      <c r="P26" s="19"/>
      <c r="Q26" s="19"/>
      <c r="R26" s="20"/>
    </row>
    <row r="27" customFormat="false" ht="13.8" hidden="false" customHeight="false" outlineLevel="0" collapsed="false">
      <c r="B27" s="42"/>
      <c r="C27" s="29" t="s">
        <v>53</v>
      </c>
      <c r="D27" s="29" t="n">
        <f aca="false">D25+D24-D23</f>
        <v>24</v>
      </c>
      <c r="E27" s="29" t="s">
        <v>44</v>
      </c>
      <c r="F27" s="47" t="n">
        <f aca="false">D27*0.0254</f>
        <v>0.6096</v>
      </c>
      <c r="G27" s="29" t="s">
        <v>45</v>
      </c>
      <c r="H27" s="29"/>
      <c r="I27" s="46"/>
      <c r="K27" s="49"/>
      <c r="L27" s="50"/>
      <c r="M27" s="50"/>
      <c r="N27" s="50"/>
      <c r="O27" s="50"/>
      <c r="P27" s="50"/>
      <c r="Q27" s="50"/>
      <c r="R27" s="51"/>
    </row>
    <row r="28" customFormat="false" ht="13.8" hidden="false" customHeight="false" outlineLevel="0" collapsed="false">
      <c r="B28" s="42"/>
      <c r="C28" s="29" t="s">
        <v>54</v>
      </c>
      <c r="D28" s="29" t="n">
        <f aca="false">D22-D23-D25-D24</f>
        <v>9</v>
      </c>
      <c r="E28" s="29" t="s">
        <v>44</v>
      </c>
      <c r="F28" s="47" t="n">
        <f aca="false">D28*0.0254</f>
        <v>0.2286</v>
      </c>
      <c r="G28" s="29" t="s">
        <v>45</v>
      </c>
      <c r="H28" s="29"/>
      <c r="I28" s="46"/>
    </row>
    <row r="29" customFormat="false" ht="13.8" hidden="false" customHeight="false" outlineLevel="0" collapsed="false">
      <c r="B29" s="42"/>
      <c r="C29" s="45"/>
      <c r="D29" s="45"/>
      <c r="E29" s="45"/>
      <c r="F29" s="45"/>
      <c r="G29" s="45"/>
      <c r="H29" s="45"/>
      <c r="I29" s="46"/>
    </row>
    <row r="30" customFormat="false" ht="13.8" hidden="false" customHeight="false" outlineLevel="0" collapsed="false">
      <c r="B30" s="42"/>
      <c r="C30" s="43" t="s">
        <v>55</v>
      </c>
      <c r="D30" s="44"/>
      <c r="E30" s="44"/>
      <c r="F30" s="44"/>
      <c r="G30" s="44"/>
      <c r="H30" s="45"/>
      <c r="I30" s="46"/>
    </row>
    <row r="31" customFormat="false" ht="13.8" hidden="false" customHeight="false" outlineLevel="0" collapsed="false">
      <c r="B31" s="42"/>
      <c r="C31" s="29" t="s">
        <v>56</v>
      </c>
      <c r="D31" s="30" t="n">
        <v>12</v>
      </c>
      <c r="E31" s="29" t="s">
        <v>44</v>
      </c>
      <c r="F31" s="47" t="n">
        <f aca="false">D31*0.0254</f>
        <v>0.3048</v>
      </c>
      <c r="G31" s="29" t="s">
        <v>45</v>
      </c>
      <c r="H31" s="29"/>
      <c r="I31" s="46"/>
    </row>
    <row r="32" customFormat="false" ht="13.8" hidden="false" customHeight="false" outlineLevel="0" collapsed="false">
      <c r="B32" s="42"/>
      <c r="C32" s="29" t="s">
        <v>57</v>
      </c>
      <c r="D32" s="30" t="n">
        <v>0.3125</v>
      </c>
      <c r="E32" s="29" t="s">
        <v>44</v>
      </c>
      <c r="F32" s="47" t="n">
        <f aca="false">D32*0.0254</f>
        <v>0.0079375</v>
      </c>
      <c r="G32" s="29" t="s">
        <v>45</v>
      </c>
      <c r="H32" s="29"/>
      <c r="I32" s="46"/>
    </row>
    <row r="33" customFormat="false" ht="13.8" hidden="false" customHeight="false" outlineLevel="0" collapsed="false">
      <c r="B33" s="42"/>
      <c r="C33" s="29" t="s">
        <v>58</v>
      </c>
      <c r="D33" s="52" t="n">
        <v>3.94E-006</v>
      </c>
      <c r="E33" s="29" t="s">
        <v>44</v>
      </c>
      <c r="F33" s="53" t="n">
        <f aca="false">D33*0.0254</f>
        <v>1.00076E-007</v>
      </c>
      <c r="G33" s="29" t="s">
        <v>45</v>
      </c>
      <c r="H33" s="29"/>
      <c r="I33" s="46"/>
    </row>
    <row r="34" customFormat="false" ht="13.8" hidden="false" customHeight="false" outlineLevel="0" collapsed="false">
      <c r="B34" s="42"/>
      <c r="C34" s="29" t="s">
        <v>59</v>
      </c>
      <c r="D34" s="30" t="n">
        <v>48</v>
      </c>
      <c r="E34" s="29" t="s">
        <v>44</v>
      </c>
      <c r="F34" s="54" t="n">
        <f aca="false">D34*0.0254</f>
        <v>1.2192</v>
      </c>
      <c r="G34" s="29" t="s">
        <v>45</v>
      </c>
      <c r="H34" s="29"/>
      <c r="I34" s="46"/>
    </row>
    <row r="35" customFormat="false" ht="13.8" hidden="false" customHeight="false" outlineLevel="0" collapsed="false">
      <c r="B35" s="42"/>
      <c r="C35" s="29" t="s">
        <v>60</v>
      </c>
      <c r="D35" s="30" t="n">
        <v>0.225</v>
      </c>
      <c r="E35" s="29" t="s">
        <v>44</v>
      </c>
      <c r="F35" s="47" t="n">
        <f aca="false">D35*0.0254</f>
        <v>0.005715</v>
      </c>
      <c r="G35" s="29" t="s">
        <v>45</v>
      </c>
      <c r="H35" s="29"/>
      <c r="I35" s="46"/>
    </row>
    <row r="36" customFormat="false" ht="13.8" hidden="false" customHeight="false" outlineLevel="0" collapsed="false">
      <c r="B36" s="42"/>
      <c r="C36" s="29" t="s">
        <v>61</v>
      </c>
      <c r="D36" s="52" t="n">
        <v>3.94E-006</v>
      </c>
      <c r="E36" s="29" t="s">
        <v>44</v>
      </c>
      <c r="F36" s="29" t="n">
        <f aca="false">D36*0.0254</f>
        <v>1.00076E-007</v>
      </c>
      <c r="G36" s="29" t="s">
        <v>45</v>
      </c>
      <c r="H36" s="29"/>
      <c r="I36" s="46"/>
    </row>
    <row r="37" customFormat="false" ht="13.8" hidden="false" customHeight="false" outlineLevel="0" collapsed="false">
      <c r="B37" s="42"/>
      <c r="C37" s="45"/>
      <c r="D37" s="45"/>
      <c r="E37" s="45"/>
      <c r="F37" s="45"/>
      <c r="G37" s="45"/>
      <c r="H37" s="45"/>
      <c r="I37" s="46"/>
    </row>
    <row r="38" customFormat="false" ht="13.8" hidden="false" customHeight="false" outlineLevel="0" collapsed="false">
      <c r="B38" s="42"/>
      <c r="C38" s="43" t="s">
        <v>62</v>
      </c>
      <c r="D38" s="44"/>
      <c r="E38" s="44"/>
      <c r="F38" s="44"/>
      <c r="G38" s="44"/>
      <c r="H38" s="45"/>
      <c r="I38" s="46"/>
    </row>
    <row r="39" customFormat="false" ht="13.8" hidden="false" customHeight="false" outlineLevel="0" collapsed="false">
      <c r="B39" s="42"/>
      <c r="C39" s="29" t="s">
        <v>63</v>
      </c>
      <c r="D39" s="30" t="n">
        <v>6</v>
      </c>
      <c r="E39" s="29"/>
      <c r="F39" s="47"/>
      <c r="G39" s="29"/>
      <c r="H39" s="29"/>
      <c r="I39" s="46"/>
    </row>
    <row r="40" customFormat="false" ht="13.8" hidden="false" customHeight="false" outlineLevel="0" collapsed="false">
      <c r="B40" s="42"/>
      <c r="C40" s="29" t="s">
        <v>64</v>
      </c>
      <c r="D40" s="30" t="n">
        <v>0.089</v>
      </c>
      <c r="E40" s="29" t="s">
        <v>44</v>
      </c>
      <c r="F40" s="47" t="n">
        <f aca="false">D40*0.0254</f>
        <v>0.0022606</v>
      </c>
      <c r="G40" s="29" t="s">
        <v>45</v>
      </c>
      <c r="H40" s="29"/>
      <c r="I40" s="46"/>
    </row>
    <row r="41" customFormat="false" ht="13.8" hidden="false" customHeight="false" outlineLevel="0" collapsed="false">
      <c r="B41" s="42"/>
      <c r="C41" s="29" t="s">
        <v>65</v>
      </c>
      <c r="D41" s="30" t="n">
        <v>0.4</v>
      </c>
      <c r="E41" s="29"/>
      <c r="F41" s="29"/>
      <c r="G41" s="29"/>
      <c r="H41" s="29"/>
      <c r="I41" s="46"/>
    </row>
    <row r="42" customFormat="false" ht="13.8" hidden="false" customHeight="false" outlineLevel="0" collapsed="false">
      <c r="B42" s="42"/>
      <c r="C42" s="29" t="s">
        <v>66</v>
      </c>
      <c r="D42" s="30" t="n">
        <v>6</v>
      </c>
      <c r="E42" s="29"/>
      <c r="F42" s="29"/>
      <c r="G42" s="29"/>
      <c r="H42" s="29"/>
      <c r="I42" s="46"/>
    </row>
    <row r="43" customFormat="false" ht="13.8" hidden="false" customHeight="false" outlineLevel="0" collapsed="false">
      <c r="B43" s="42"/>
      <c r="C43" s="29" t="s">
        <v>67</v>
      </c>
      <c r="D43" s="30" t="n">
        <v>0.0469</v>
      </c>
      <c r="E43" s="29" t="s">
        <v>44</v>
      </c>
      <c r="F43" s="29" t="n">
        <f aca="false">D43*0.0254</f>
        <v>0.00119126</v>
      </c>
      <c r="G43" s="29" t="s">
        <v>45</v>
      </c>
      <c r="H43" s="29"/>
      <c r="I43" s="46"/>
    </row>
    <row r="44" customFormat="false" ht="13.8" hidden="false" customHeight="false" outlineLevel="0" collapsed="false">
      <c r="B44" s="42"/>
      <c r="C44" s="29" t="s">
        <v>68</v>
      </c>
      <c r="D44" s="30" t="n">
        <v>0.55</v>
      </c>
      <c r="E44" s="29"/>
      <c r="F44" s="29"/>
      <c r="G44" s="29"/>
      <c r="H44" s="29"/>
      <c r="I44" s="46"/>
    </row>
    <row r="45" customFormat="false" ht="13.8" hidden="false" customHeight="false" outlineLevel="0" collapsed="false">
      <c r="B45" s="42"/>
      <c r="C45" s="45"/>
      <c r="D45" s="45"/>
      <c r="E45" s="45"/>
      <c r="F45" s="45"/>
      <c r="G45" s="45"/>
      <c r="H45" s="45"/>
      <c r="I45" s="46"/>
    </row>
    <row r="46" customFormat="false" ht="13.8" hidden="false" customHeight="false" outlineLevel="0" collapsed="false">
      <c r="B46" s="42"/>
      <c r="C46" s="43" t="s">
        <v>69</v>
      </c>
      <c r="D46" s="44"/>
      <c r="E46" s="44"/>
      <c r="F46" s="44"/>
      <c r="G46" s="44"/>
      <c r="H46" s="45"/>
      <c r="I46" s="46"/>
    </row>
    <row r="47" customFormat="false" ht="13.8" hidden="false" customHeight="false" outlineLevel="0" collapsed="false">
      <c r="B47" s="42"/>
      <c r="C47" s="29" t="s">
        <v>70</v>
      </c>
      <c r="D47" s="30" t="n">
        <v>2</v>
      </c>
      <c r="E47" s="29" t="s">
        <v>44</v>
      </c>
      <c r="F47" s="47" t="n">
        <f aca="false">D47*0.0254</f>
        <v>0.0508</v>
      </c>
      <c r="G47" s="29" t="s">
        <v>45</v>
      </c>
      <c r="H47" s="29"/>
      <c r="I47" s="46"/>
    </row>
    <row r="48" customFormat="false" ht="13.8" hidden="false" customHeight="false" outlineLevel="0" collapsed="false">
      <c r="B48" s="42"/>
      <c r="C48" s="29" t="s">
        <v>71</v>
      </c>
      <c r="D48" s="30" t="n">
        <v>0.25</v>
      </c>
      <c r="E48" s="29" t="s">
        <v>44</v>
      </c>
      <c r="F48" s="47" t="n">
        <f aca="false">D48*0.0254</f>
        <v>0.00635</v>
      </c>
      <c r="G48" s="29" t="s">
        <v>45</v>
      </c>
      <c r="H48" s="29"/>
      <c r="I48" s="46"/>
    </row>
    <row r="49" customFormat="false" ht="13.8" hidden="false" customHeight="false" outlineLevel="0" collapsed="false">
      <c r="B49" s="42"/>
      <c r="C49" s="29" t="s">
        <v>72</v>
      </c>
      <c r="D49" s="30" t="n">
        <v>5</v>
      </c>
      <c r="E49" s="29" t="s">
        <v>44</v>
      </c>
      <c r="F49" s="29" t="n">
        <f aca="false">D49*0.0254</f>
        <v>0.127</v>
      </c>
      <c r="G49" s="29" t="s">
        <v>45</v>
      </c>
      <c r="H49" s="29"/>
      <c r="I49" s="46"/>
    </row>
    <row r="50" customFormat="false" ht="13.8" hidden="false" customHeight="false" outlineLevel="0" collapsed="false">
      <c r="B50" s="42"/>
      <c r="C50" s="45"/>
      <c r="D50" s="45"/>
      <c r="E50" s="45"/>
      <c r="F50" s="45"/>
      <c r="G50" s="45"/>
      <c r="H50" s="45"/>
      <c r="I50" s="46"/>
    </row>
    <row r="51" customFormat="false" ht="13.8" hidden="false" customHeight="false" outlineLevel="0" collapsed="false">
      <c r="B51" s="42"/>
      <c r="C51" s="43" t="s">
        <v>73</v>
      </c>
      <c r="D51" s="44"/>
      <c r="E51" s="44"/>
      <c r="F51" s="44"/>
      <c r="G51" s="44"/>
      <c r="H51" s="45"/>
      <c r="I51" s="46"/>
    </row>
    <row r="52" customFormat="false" ht="13.8" hidden="false" customHeight="false" outlineLevel="0" collapsed="false">
      <c r="B52" s="42"/>
      <c r="C52" s="29" t="s">
        <v>74</v>
      </c>
      <c r="D52" s="30" t="n">
        <v>1</v>
      </c>
      <c r="E52" s="29" t="s">
        <v>44</v>
      </c>
      <c r="F52" s="47" t="n">
        <f aca="false">D52*0.0254</f>
        <v>0.0254</v>
      </c>
      <c r="G52" s="29" t="s">
        <v>45</v>
      </c>
      <c r="H52" s="29"/>
      <c r="I52" s="46"/>
    </row>
    <row r="53" customFormat="false" ht="13.8" hidden="false" customHeight="false" outlineLevel="0" collapsed="false">
      <c r="B53" s="42"/>
      <c r="C53" s="29" t="s">
        <v>75</v>
      </c>
      <c r="D53" s="30" t="n">
        <v>2</v>
      </c>
      <c r="E53" s="29" t="s">
        <v>44</v>
      </c>
      <c r="F53" s="47" t="n">
        <f aca="false">D53*0.0254</f>
        <v>0.0508</v>
      </c>
      <c r="G53" s="29" t="s">
        <v>45</v>
      </c>
      <c r="H53" s="29"/>
      <c r="I53" s="46"/>
    </row>
    <row r="54" customFormat="false" ht="13.8" hidden="false" customHeight="false" outlineLevel="0" collapsed="false">
      <c r="B54" s="42"/>
      <c r="C54" s="29" t="s">
        <v>76</v>
      </c>
      <c r="D54" s="30" t="n">
        <v>15</v>
      </c>
      <c r="E54" s="29" t="s">
        <v>77</v>
      </c>
      <c r="F54" s="29"/>
      <c r="G54" s="29"/>
      <c r="H54" s="29"/>
      <c r="I54" s="46"/>
    </row>
    <row r="55" customFormat="false" ht="13.8" hidden="false" customHeight="false" outlineLevel="0" collapsed="false">
      <c r="B55" s="42"/>
      <c r="C55" s="45"/>
      <c r="D55" s="45"/>
      <c r="E55" s="45"/>
      <c r="F55" s="45"/>
      <c r="G55" s="45"/>
      <c r="H55" s="45"/>
      <c r="I55" s="46"/>
    </row>
    <row r="56" customFormat="false" ht="13.8" hidden="false" customHeight="false" outlineLevel="0" collapsed="false">
      <c r="B56" s="42"/>
      <c r="C56" s="45"/>
      <c r="D56" s="45"/>
      <c r="E56" s="45"/>
      <c r="F56" s="45"/>
      <c r="G56" s="45"/>
      <c r="H56" s="45"/>
      <c r="I56" s="46"/>
    </row>
    <row r="57" customFormat="false" ht="13.8" hidden="false" customHeight="false" outlineLevel="0" collapsed="false">
      <c r="B57" s="42"/>
      <c r="C57" s="45"/>
      <c r="D57" s="45"/>
      <c r="E57" s="45"/>
      <c r="F57" s="45"/>
      <c r="G57" s="45"/>
      <c r="H57" s="45"/>
      <c r="I57" s="46"/>
    </row>
    <row r="58" customFormat="false" ht="13.8" hidden="false" customHeight="false" outlineLevel="0" collapsed="false">
      <c r="B58" s="55"/>
      <c r="C58" s="56"/>
      <c r="D58" s="56"/>
      <c r="E58" s="56"/>
      <c r="F58" s="56"/>
      <c r="G58" s="56"/>
      <c r="H58" s="56"/>
      <c r="I58" s="57"/>
    </row>
  </sheetData>
  <mergeCells count="13">
    <mergeCell ref="C3:D3"/>
    <mergeCell ref="E3:F3"/>
    <mergeCell ref="L3:M3"/>
    <mergeCell ref="N3:O3"/>
    <mergeCell ref="D4:E4"/>
    <mergeCell ref="F4:G4"/>
    <mergeCell ref="M4:N4"/>
    <mergeCell ref="M5:N5"/>
    <mergeCell ref="O5:P5"/>
    <mergeCell ref="D9:E9"/>
    <mergeCell ref="F9:G9"/>
    <mergeCell ref="C18:D18"/>
    <mergeCell ref="E18:F18"/>
  </mergeCells>
  <dataValidations count="4">
    <dataValidation allowBlank="false" errorStyle="stop" operator="between" showDropDown="false" showErrorMessage="false" showInputMessage="false" sqref="M4" type="list">
      <formula1>"Isopropanol,Ethanol,E98,E85"</formula1>
      <formula2>0</formula2>
    </dataValidation>
    <dataValidation allowBlank="true" error="Pick a value from the list." errorStyle="stop" operator="equal" showDropDown="false" showErrorMessage="true" showInputMessage="false" sqref="C6:C7" type="list">
      <formula1>lists!$A$2:$A$39</formula1>
      <formula2>0</formula2>
    </dataValidation>
    <dataValidation allowBlank="true" error="Pick a value from the list." errorStyle="stop" operator="equal" showDropDown="false" showErrorMessage="true" showInputMessage="false" sqref="G6:G7" type="list">
      <formula1>"0,1"</formula1>
      <formula2>0</formula2>
    </dataValidation>
    <dataValidation allowBlank="false" errorStyle="stop" operator="between" showDropDown="false" showErrorMessage="false" showInputMessage="false" sqref="F6:F7" type="none">
      <formula1>"Isopropanol","Ethanol","E98","E85"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5.96"/>
  </cols>
  <sheetData>
    <row r="1" customFormat="false" ht="13.8" hidden="false" customHeight="false" outlineLevel="0" collapsed="false">
      <c r="A1" s="1" t="s">
        <v>78</v>
      </c>
    </row>
    <row r="2" customFormat="false" ht="13.8" hidden="false" customHeight="false" outlineLevel="0" collapsed="false">
      <c r="A2" s="1" t="s">
        <v>21</v>
      </c>
    </row>
    <row r="3" customFormat="false" ht="13.8" hidden="false" customHeight="false" outlineLevel="0" collapsed="false">
      <c r="A3" s="1" t="s">
        <v>24</v>
      </c>
    </row>
    <row r="4" customFormat="false" ht="13.8" hidden="false" customHeight="false" outlineLevel="0" collapsed="false">
      <c r="A4" s="1" t="s">
        <v>26</v>
      </c>
    </row>
    <row r="5" customFormat="false" ht="13.8" hidden="false" customHeight="false" outlineLevel="0" collapsed="false">
      <c r="A5" s="1" t="s">
        <v>33</v>
      </c>
    </row>
    <row r="6" customFormat="false" ht="13.8" hidden="false" customHeight="false" outlineLevel="0" collapsed="false">
      <c r="A6" s="1" t="s">
        <v>43</v>
      </c>
    </row>
    <row r="7" customFormat="false" ht="13.8" hidden="false" customHeight="false" outlineLevel="0" collapsed="false">
      <c r="A7" s="1" t="s">
        <v>46</v>
      </c>
    </row>
    <row r="8" customFormat="false" ht="13.8" hidden="false" customHeight="false" outlineLevel="0" collapsed="false">
      <c r="A8" s="1" t="s">
        <v>47</v>
      </c>
    </row>
    <row r="9" customFormat="false" ht="13.8" hidden="false" customHeight="false" outlineLevel="0" collapsed="false">
      <c r="A9" s="1" t="s">
        <v>48</v>
      </c>
    </row>
    <row r="10" customFormat="false" ht="13.8" hidden="false" customHeight="false" outlineLevel="0" collapsed="false">
      <c r="A10" s="1" t="s">
        <v>49</v>
      </c>
    </row>
    <row r="11" customFormat="false" ht="13.8" hidden="false" customHeight="false" outlineLevel="0" collapsed="false">
      <c r="A11" s="1" t="s">
        <v>50</v>
      </c>
    </row>
    <row r="12" customFormat="false" ht="13.8" hidden="false" customHeight="false" outlineLevel="0" collapsed="false">
      <c r="A12" s="1" t="s">
        <v>52</v>
      </c>
    </row>
    <row r="13" customFormat="false" ht="13.8" hidden="false" customHeight="false" outlineLevel="0" collapsed="false">
      <c r="A13" s="1" t="s">
        <v>56</v>
      </c>
    </row>
    <row r="14" customFormat="false" ht="13.8" hidden="false" customHeight="false" outlineLevel="0" collapsed="false">
      <c r="A14" s="1" t="s">
        <v>57</v>
      </c>
    </row>
    <row r="15" customFormat="false" ht="13.8" hidden="false" customHeight="false" outlineLevel="0" collapsed="false">
      <c r="A15" s="1" t="s">
        <v>58</v>
      </c>
    </row>
    <row r="16" customFormat="false" ht="13.8" hidden="false" customHeight="false" outlineLevel="0" collapsed="false">
      <c r="A16" s="1" t="s">
        <v>59</v>
      </c>
    </row>
    <row r="17" customFormat="false" ht="13.8" hidden="false" customHeight="false" outlineLevel="0" collapsed="false">
      <c r="A17" s="1" t="s">
        <v>60</v>
      </c>
    </row>
    <row r="18" customFormat="false" ht="13.8" hidden="false" customHeight="false" outlineLevel="0" collapsed="false">
      <c r="A18" s="1" t="s">
        <v>61</v>
      </c>
    </row>
    <row r="19" customFormat="false" ht="13.8" hidden="false" customHeight="false" outlineLevel="0" collapsed="false">
      <c r="A19" s="1" t="s">
        <v>63</v>
      </c>
    </row>
    <row r="20" customFormat="false" ht="13.8" hidden="false" customHeight="false" outlineLevel="0" collapsed="false">
      <c r="A20" s="1" t="s">
        <v>64</v>
      </c>
    </row>
    <row r="21" customFormat="false" ht="13.8" hidden="false" customHeight="false" outlineLevel="0" collapsed="false">
      <c r="A21" s="1" t="s">
        <v>65</v>
      </c>
    </row>
    <row r="22" customFormat="false" ht="13.8" hidden="false" customHeight="false" outlineLevel="0" collapsed="false">
      <c r="A22" s="1" t="s">
        <v>66</v>
      </c>
    </row>
    <row r="23" customFormat="false" ht="13.8" hidden="false" customHeight="false" outlineLevel="0" collapsed="false">
      <c r="A23" s="1" t="s">
        <v>67</v>
      </c>
    </row>
    <row r="24" customFormat="false" ht="13.8" hidden="false" customHeight="false" outlineLevel="0" collapsed="false">
      <c r="A24" s="1" t="s">
        <v>68</v>
      </c>
    </row>
    <row r="25" customFormat="false" ht="13.8" hidden="false" customHeight="false" outlineLevel="0" collapsed="false">
      <c r="A25" s="1" t="s">
        <v>70</v>
      </c>
    </row>
    <row r="26" customFormat="false" ht="13.8" hidden="false" customHeight="false" outlineLevel="0" collapsed="false">
      <c r="A26" s="1" t="s">
        <v>71</v>
      </c>
    </row>
    <row r="27" customFormat="false" ht="13.8" hidden="false" customHeight="false" outlineLevel="0" collapsed="false">
      <c r="A27" s="1" t="s">
        <v>72</v>
      </c>
    </row>
    <row r="28" customFormat="false" ht="13.8" hidden="false" customHeight="false" outlineLevel="0" collapsed="false">
      <c r="A28" s="1" t="s">
        <v>74</v>
      </c>
    </row>
    <row r="29" customFormat="false" ht="13.8" hidden="false" customHeight="false" outlineLevel="0" collapsed="false">
      <c r="A29" s="1" t="s">
        <v>75</v>
      </c>
    </row>
    <row r="30" customFormat="false" ht="13.8" hidden="false" customHeight="false" outlineLevel="0" collapsed="false">
      <c r="A30" s="1" t="s">
        <v>76</v>
      </c>
    </row>
    <row r="31" customFormat="false" ht="13.8" hidden="false" customHeight="false" outlineLevel="0" collapsed="false">
      <c r="A31" s="1" t="s">
        <v>14</v>
      </c>
    </row>
    <row r="32" customFormat="false" ht="13.8" hidden="false" customHeight="false" outlineLevel="0" collapsed="false">
      <c r="A32" s="1" t="s">
        <v>17</v>
      </c>
    </row>
    <row r="33" customFormat="false" ht="13.8" hidden="false" customHeight="false" outlineLevel="0" collapsed="false">
      <c r="A33" s="1" t="s">
        <v>23</v>
      </c>
    </row>
    <row r="34" customFormat="false" ht="13.8" hidden="false" customHeight="false" outlineLevel="0" collapsed="false">
      <c r="A34" s="1" t="s">
        <v>25</v>
      </c>
    </row>
    <row r="35" customFormat="false" ht="13.8" hidden="false" customHeight="false" outlineLevel="0" collapsed="false">
      <c r="A35" s="1" t="s">
        <v>29</v>
      </c>
    </row>
    <row r="36" customFormat="false" ht="13.8" hidden="false" customHeight="false" outlineLevel="0" collapsed="false">
      <c r="A36" s="1" t="s">
        <v>31</v>
      </c>
    </row>
    <row r="37" customFormat="false" ht="13.8" hidden="false" customHeight="false" outlineLevel="0" collapsed="false">
      <c r="A37" s="1" t="s">
        <v>38</v>
      </c>
    </row>
    <row r="38" customFormat="false" ht="13.8" hidden="false" customHeight="false" outlineLevel="0" collapsed="false">
      <c r="A38" s="1" t="s">
        <v>40</v>
      </c>
    </row>
    <row r="39" customFormat="false" ht="13.8" hidden="false" customHeight="false" outlineLevel="0" collapsed="false">
      <c r="A39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2026-10-10T03:28:03Z</dcterms:created>
  <dc:creator>openpyxl</dc:creator>
  <dc:description/>
  <dc:language>en-US</dc:language>
  <cp:lastModifiedBy/>
  <dcterms:modified xsi:type="dcterms:W3CDTF">2026-10-10T16:26:19Z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