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vmlDrawing1.vml" ContentType="application/vnd.openxmlformats-officedocument.vmlDrawing"/>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Override PartName="/xl/comments1.xml" ContentType="application/vnd.openxmlformats-officedocument.spreadsheetml.comment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lowestEdited="4"/>
  <workbookPr backupFile="false" showObjects="all" date1904="false"/>
  <workbookProtection/>
  <bookViews>
    <workbookView showHorizontalScroll="true" showVerticalScroll="true" showSheetTabs="true" xWindow="0" yWindow="0" windowWidth="16384" windowHeight="8192" tabRatio="500" firstSheet="0" activeTab="1"/>
  </bookViews>
  <sheets>
    <sheet name="Inputs" sheetId="1" state="visible" r:id="rId3"/>
    <sheet name="Sheet2" sheetId="2" state="visible" r:id="rId4"/>
  </sheets>
  <calcPr iterateCount="100" refMode="A1" iterate="false" iterateDelta="0.0001"/>
  <extLst>
    <ext xmlns:loext="http://schemas.libreoffice.org/" uri="{7626C862-2A13-11E5-B345-FEFF819CDC9F}">
      <loext:extCalcPr stringRefSyntax="ExcelA1"/>
    </ext>
  </extLst>
</workbook>
</file>

<file path=xl/comments1.xml><?xml version="1.0" encoding="utf-8"?>
<comments xmlns="http://schemas.openxmlformats.org/spreadsheetml/2006/main" xmlns:xdr="http://schemas.openxmlformats.org/drawingml/2006/spreadsheetDrawing">
  <authors>
    <author>HalfCatSim</author>
  </authors>
  <commentList>
    <comment ref="A7" authorId="0">
      <text>
        <r>
          <rPr>
            <sz val="10"/>
            <rFont val="Arial"/>
            <family val="2"/>
          </rPr>
          <t xml:space="preserve">Controls the fidelity of the simulation.
Longer burning motors may require additional sim time.
Recommended value is 0.01. Adjust higher if needed.</t>
        </r>
      </text>
    </comment>
    <comment ref="A10" authorId="0">
      <text>
        <r>
          <rPr>
            <sz val="10"/>
            <rFont val="Arial"/>
            <family val="2"/>
          </rPr>
          <t xml:space="preserve">Altitude at which the motor is firing.
This simulation assumes an unchanging altitude.
Note that during a launch, altitude will vary.
Common locations:
Florida: 0 ft
FAR: 2000 ft
Midland, Texas: 2800 ft</t>
        </r>
      </text>
    </comment>
    <comment ref="A13" authorId="0">
      <text>
        <r>
          <rPr>
            <sz val="10"/>
            <rFont val="Arial"/>
            <family val="2"/>
          </rPr>
          <t xml:space="preserve">Outer diameter of the oxidizer tank.</t>
        </r>
      </text>
    </comment>
    <comment ref="A14" authorId="0">
      <text>
        <r>
          <rPr>
            <sz val="10"/>
            <rFont val="Arial"/>
            <family val="2"/>
          </rPr>
          <t xml:space="preserve">Thickness of the oxidizer tank wall.</t>
        </r>
      </text>
    </comment>
    <comment ref="A15" authorId="0">
      <text>
        <r>
          <rPr>
            <sz val="10"/>
            <rFont val="Arial"/>
            <family val="2"/>
          </rPr>
          <t xml:space="preserve">Height of the useful column of oxidizer present in the tank.</t>
        </r>
      </text>
    </comment>
    <comment ref="A16" authorId="0">
      <text>
        <r>
          <rPr>
            <sz val="10"/>
            <rFont val="Arial"/>
            <family val="2"/>
          </rPr>
          <t xml:space="preserve">Determines the pressure and density of the oxidizer.
Oxidizer temperature will drop somewhat during loading from supply bottle to propellant tank.
It is advisable to plan for a temperature 10-20°F lower than ambient, if the supply bottle is unheated.</t>
        </r>
      </text>
    </comment>
    <comment ref="A17" authorId="0">
      <text>
        <r>
          <rPr>
            <sz val="10"/>
            <rFont val="Arial"/>
            <family val="2"/>
          </rPr>
          <t xml:space="preserve">ONLY FOR CONCENTRIC TANKS
SET TO ZERO IF NOT USED
This is a tube which goes from a bulkhead at the top of the fuel tank up to the top of the oxidizer tank.
It reduces the amount of oxidizer wasted by having a fuel tank which is not as long as the oxidizer tank.</t>
        </r>
      </text>
    </comment>
    <comment ref="A20" authorId="0">
      <text>
        <r>
          <rPr>
            <sz val="10"/>
            <rFont val="Arial"/>
            <family val="2"/>
          </rPr>
          <t xml:space="preserve">ADVANCED SETTING
Recommended value:  70%
Decay rate of oxidizer during the liquid blowdown phase.
This is the percentage of pressure remaining when liquid oxidizer is depleted.</t>
        </r>
      </text>
    </comment>
    <comment ref="A21" authorId="0">
      <text>
        <r>
          <rPr>
            <sz val="10"/>
            <rFont val="Arial"/>
            <family val="2"/>
          </rPr>
          <t xml:space="preserve">ADVANCED SETTING
Recommended value:  25%
Decay rate of oxidizer during the gaseous blowdown phase.
Units are 1/s: HalfCat divides pressure by exp(k * dt) each step.</t>
        </r>
      </text>
    </comment>
    <comment ref="A24" authorId="0">
      <text>
        <r>
          <rPr>
            <sz val="10"/>
            <rFont val="Arial"/>
            <family val="2"/>
          </rPr>
          <t xml:space="preserve">ADVANCED SETTING
Inner diameter of oxidizer feed line from tank to chamber.</t>
        </r>
      </text>
    </comment>
    <comment ref="A25" authorId="0">
      <text>
        <r>
          <rPr>
            <sz val="10"/>
            <rFont val="Arial"/>
            <family val="2"/>
          </rPr>
          <t xml:space="preserve">ADVANCED SETTING
SET TO ZERO IF NOT USED
Length of oxidizer feed line.</t>
        </r>
      </text>
    </comment>
    <comment ref="A26" authorId="0">
      <text>
        <r>
          <rPr>
            <sz val="10"/>
            <rFont val="Arial"/>
            <family val="2"/>
          </rPr>
          <t xml:space="preserve">ADVANCED SETTING
Roughness of oxidizer feed line.
Reference values:
Source:  https://www.pressure-drop.com/
PTFE (Teflon): 0.0001 mm
Aluminium, drawn/pressed new 0.0013 - 0.0015 mm
Aluminium, drawn/pressed used to 0.03 mm
Brass, drawn/pressed new 0.0013 - 0.0014 mm
Brass, drawn/pressed used to 0.03 mm
Copper, drawn/pressed new 0.0013 - 0.0015 mm
Copper, drawn/pressed used to 0.03 mm
Glass, drawn/pressed new 0.0013 - 0.0015 mm
Glass, drawn/pressed used to 0.03 mm
Plastic, drawn/pressed new 0.0013 - 0.0015 mm
Plastic, drawn/pressed used to 0.03 mm
Rubber new, smoot 0.0016 mm
Steel after long operation cleaned 0.15 - 0.20 mm
Steel homogeneous corrosion pits 0.15 mm
Steel intensely incrusted 2.0 - 4.0 mm
Steel slightly rusty and incrusted 0.15 - 0.40 mm
Steel, longitudinal welded new, bituminized 0.01 - 0.05 mm
Steel, longitudinal welded new, galvanized 0.008 mm
Steel, longitudinal welded new, rolling skin 0.04 - 0.1 mm
Steel, weldless new, comm.size galvanized 0.10 - 0.16 mm
Steel, weldless new, neatly galvanized 0.07 - 0.10 mm
Steel, weldless new, pickled 0.03 - 0.04 mm
Steel, weldless new, rolling skin 0.02 - 0.06 mm
Steel, weldless new, unpickled 0.03 - 0.06 mm</t>
        </r>
      </text>
    </comment>
    <comment ref="A27" authorId="0">
      <text>
        <r>
          <rPr>
            <sz val="10"/>
            <rFont val="Arial"/>
            <family val="2"/>
          </rPr>
          <t xml:space="preserve">SET TO ZERO IF NOT USED
Cv is the flow coefficient, which is often given for components like valves.
It is used to convert to pressure drop across a component for a given flow rate.</t>
        </r>
      </text>
    </comment>
    <comment ref="A28" authorId="0">
      <text>
        <r>
          <rPr>
            <sz val="10"/>
            <rFont val="Arial"/>
            <family val="2"/>
          </rPr>
          <t xml:space="preserve">ADVANCED SETTING
Additional pressure loss in the oxidizer system.
May be used to account for valves and other restrictions.</t>
        </r>
      </text>
    </comment>
    <comment ref="A31" authorId="0">
      <text>
        <r>
          <rPr>
            <sz val="10"/>
            <rFont val="Arial"/>
            <family val="2"/>
          </rPr>
          <t xml:space="preserve">ADVANCED SETTING
SET TO ZERO IF NOT USED
This value allows an override of the calculated CdA with one found in testing.</t>
        </r>
      </text>
    </comment>
    <comment ref="A32" authorId="0">
      <text>
        <r>
          <rPr>
            <sz val="10"/>
            <rFont val="Arial"/>
            <family val="2"/>
          </rPr>
          <t xml:space="preserve">Diameter of the oxidizer orifice(s).
Select from a list of hole sizes which can be made with standard drill bits.</t>
        </r>
      </text>
    </comment>
    <comment ref="A33" authorId="0">
      <text>
        <r>
          <rPr>
            <sz val="10"/>
            <rFont val="Arial"/>
            <family val="2"/>
          </rPr>
          <t xml:space="preserve">Number of oxidizer injection holes.</t>
        </r>
      </text>
    </comment>
    <comment ref="A34"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35" authorId="0">
      <text>
        <r>
          <rPr>
            <sz val="10"/>
            <rFont val="Arial"/>
            <family val="2"/>
          </rPr>
          <t xml:space="preserve">Diameter of the oxidizer orifice(s).
Select from a list of hole sizes which can be made with standard drill bits.</t>
        </r>
      </text>
    </comment>
    <comment ref="A36" authorId="0">
      <text>
        <r>
          <rPr>
            <sz val="10"/>
            <rFont val="Arial"/>
            <family val="2"/>
          </rPr>
          <t xml:space="preserve">Number of oxidizer injection holes.</t>
        </r>
      </text>
    </comment>
    <comment ref="A37"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38" authorId="0">
      <text>
        <r>
          <rPr>
            <sz val="10"/>
            <rFont val="Arial"/>
            <family val="2"/>
          </rPr>
          <t xml:space="preserve">Diameter of the oxidizer orifice(s).</t>
        </r>
      </text>
    </comment>
    <comment ref="A39" authorId="0">
      <text>
        <r>
          <rPr>
            <sz val="10"/>
            <rFont val="Arial"/>
            <family val="2"/>
          </rPr>
          <t xml:space="preserve">Number of oxidizer injection holes.</t>
        </r>
      </text>
    </comment>
    <comment ref="A40"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41" authorId="0">
      <text>
        <r>
          <rPr>
            <sz val="10"/>
            <rFont val="Arial"/>
            <family val="2"/>
          </rPr>
          <t xml:space="preserve">Outer diameter of oxidizer annulus.</t>
        </r>
      </text>
    </comment>
    <comment ref="A42" authorId="0">
      <text>
        <r>
          <rPr>
            <sz val="10"/>
            <rFont val="Arial"/>
            <family val="2"/>
          </rPr>
          <t xml:space="preserve">Inner diameter of oxidizer annulus.</t>
        </r>
      </text>
    </comment>
    <comment ref="A43" authorId="0">
      <text>
        <r>
          <rPr>
            <sz val="10"/>
            <rFont val="Arial"/>
            <family val="2"/>
          </rPr>
          <t xml:space="preserve">Number of oxidizer injection annuluses.</t>
        </r>
      </text>
    </comment>
    <comment ref="A44"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45" authorId="0">
      <text>
        <r>
          <rPr>
            <sz val="10"/>
            <rFont val="Arial"/>
            <family val="2"/>
          </rPr>
          <t xml:space="preserve">Width of primary rectangular oxidizer slot.</t>
        </r>
      </text>
    </comment>
    <comment ref="A46" authorId="0">
      <text>
        <r>
          <rPr>
            <sz val="10"/>
            <rFont val="Arial"/>
            <family val="2"/>
          </rPr>
          <t xml:space="preserve">Length of primary rectangular oxidizer slot.</t>
        </r>
      </text>
    </comment>
    <comment ref="A47" authorId="0">
      <text>
        <r>
          <rPr>
            <sz val="10"/>
            <rFont val="Arial"/>
            <family val="2"/>
          </rPr>
          <t xml:space="preserve">Number of primary oxidizer injection slots.</t>
        </r>
      </text>
    </comment>
    <comment ref="A48"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49" authorId="0">
      <text>
        <r>
          <rPr>
            <sz val="10"/>
            <rFont val="Arial"/>
            <family val="2"/>
          </rPr>
          <t xml:space="preserve">Width of secondary rectangular oxidizer slot.</t>
        </r>
      </text>
    </comment>
    <comment ref="A50" authorId="0">
      <text>
        <r>
          <rPr>
            <sz val="10"/>
            <rFont val="Arial"/>
            <family val="2"/>
          </rPr>
          <t xml:space="preserve">Length of secondary rectangular oxidizer slot.</t>
        </r>
      </text>
    </comment>
    <comment ref="A51" authorId="0">
      <text>
        <r>
          <rPr>
            <sz val="10"/>
            <rFont val="Arial"/>
            <family val="2"/>
          </rPr>
          <t xml:space="preserve">Number of secondary oxidizer injection slots.</t>
        </r>
      </text>
    </comment>
    <comment ref="A52"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53" authorId="0">
      <text>
        <r>
          <rPr>
            <sz val="10"/>
            <rFont val="Arial"/>
            <family val="2"/>
          </rPr>
          <t xml:space="preserve">Diameter of oxidizer-centered pintle tip.</t>
        </r>
      </text>
    </comment>
    <comment ref="A56" authorId="0">
      <text>
        <r>
          <rPr>
            <sz val="10"/>
            <rFont val="Arial"/>
            <family val="2"/>
          </rPr>
          <t xml:space="preserve">Almost any flammable liquid will work as a fuel, with varying performance for a given motor.
Other fuels may be close enough to one of the listed options to be treated as the same chemical.
Some fuels, like methanol, gasoline, and nitromethane, are hazardous and not recommended.</t>
        </r>
      </text>
    </comment>
    <comment ref="A57" authorId="0">
      <text>
        <r>
          <rPr>
            <sz val="10"/>
            <rFont val="Arial"/>
            <family val="2"/>
          </rPr>
          <t xml:space="preserve">Arrangement of the propellant tanks.
Concentric:  The fuel tank is submerged inside the oxidizer tank, and its volume will be subtracted from the internal volume of the oxidizer tank.
Stacked:  The fuel tank sits on top of the oxidizer tank, either completely detached or separated only by the tank piston.</t>
        </r>
      </text>
    </comment>
    <comment ref="A58" authorId="0">
      <text>
        <r>
          <rPr>
            <sz val="10"/>
            <rFont val="Arial"/>
            <family val="2"/>
          </rPr>
          <t xml:space="preserve">ADVANCED SETTING
SET TO ZERO IF NOT USED
This value allows an override of fuel density at injection.</t>
        </r>
      </text>
    </comment>
    <comment ref="A61" authorId="0">
      <text>
        <r>
          <rPr>
            <sz val="10"/>
            <rFont val="Arial"/>
            <family val="2"/>
          </rPr>
          <t xml:space="preserve">Outer diameter of the fuel tank.</t>
        </r>
      </text>
    </comment>
    <comment ref="A62" authorId="0">
      <text>
        <r>
          <rPr>
            <sz val="10"/>
            <rFont val="Arial"/>
            <family val="2"/>
          </rPr>
          <t xml:space="preserve">Thickness of the fuel tank wall.</t>
        </r>
      </text>
    </comment>
    <comment ref="A63" authorId="0">
      <text>
        <r>
          <rPr>
            <sz val="10"/>
            <rFont val="Arial"/>
            <family val="2"/>
          </rPr>
          <t xml:space="preserve">Height of the useful column of fuel present in the tank.
This is the distance which the fuel piston can travel.</t>
        </r>
      </text>
    </comment>
    <comment ref="A64" authorId="0">
      <text>
        <r>
          <rPr>
            <sz val="10"/>
            <rFont val="Arial"/>
            <family val="2"/>
          </rPr>
          <t xml:space="preserve">External length of fuel tank
(Applies only to concentric tanks)</t>
        </r>
      </text>
    </comment>
    <comment ref="A65" authorId="0">
      <text>
        <r>
          <rPr>
            <sz val="10"/>
            <rFont val="Arial"/>
            <family val="2"/>
          </rPr>
          <t xml:space="preserve">HalfCatSim assumes that the fuel is linked to the oxidizer pressure by a piston.
In this setup, a small amount of pressure is lost to sliding resistance, 5 - 20 psi.
Recommended value:  15 psi</t>
        </r>
      </text>
    </comment>
    <comment ref="A68" authorId="0">
      <text>
        <r>
          <rPr>
            <sz val="10"/>
            <rFont val="Arial"/>
            <family val="2"/>
          </rPr>
          <t xml:space="preserve">ADVANCED SETTING
Inner diameter of fuel feed line from tank to chamber.</t>
        </r>
      </text>
    </comment>
    <comment ref="A69" authorId="0">
      <text>
        <r>
          <rPr>
            <sz val="10"/>
            <rFont val="Arial"/>
            <family val="2"/>
          </rPr>
          <t xml:space="preserve">ADVANCED SETTING
SET TO ZERO IF NOT USED
Length of fuel feed line.</t>
        </r>
      </text>
    </comment>
    <comment ref="A70" authorId="0">
      <text>
        <r>
          <rPr>
            <sz val="10"/>
            <rFont val="Arial"/>
            <family val="2"/>
          </rPr>
          <t xml:space="preserve">ADVANCED SETTING
Roughness of fuel feed line.
Reference values:
Source:  https://www.pressure-drop.com/
PTFE (Teflon): 0.0001 mm
Aluminium, drawn/pressed new 0.0013 - 0.0015 mm
Aluminium, drawn/pressed used to 0.03 mm
Brass, drawn/pressed new 0.0013 - 0.0014 mm
Brass, drawn/pressed used to 0.03 mm
Copper, drawn/pressed new 0.0013 - 0.0015 mm
Copper, drawn/pressed used to 0.03 mm
Glass, drawn/pressed new 0.0013 - 0.0015 mm
Glass, drawn/pressed used to 0.03 mm
Plastic, drawn/pressed new 0.0013 - 0.0015 mm
Plastic, drawn/pressed used to 0.03 mm
Rubber new, smoot 0.0016 mm
Steel after long operation cleaned 0.15 - 0.20 mm
Steel homogeneous corrosion pits 0.15 mm
Steel intensely incrusted 2.0 - 4.0 mm
Steel slightly rusty and incrusted 0.15 - 0.40 mm
Steel, longitudinal welded new, bituminized 0.01 - 0.05 mm
Steel, longitudinal welded new, galvanized 0.008 mm
Steel, longitudinal welded new, rolling skin 0.04 - 0.1 mm
Steel, weldless new, comm.size galvanized 0.10 - 0.16 mm
Steel, weldless new, neatly galvanized 0.07 - 0.10 mm
Steel, weldless new, pickled 0.03 - 0.04 mm
Steel, weldless new, rolling skin 0.02 - 0.06 mm
Steel, weldless new, unpickled 0.03 - 0.06 mm</t>
        </r>
      </text>
    </comment>
    <comment ref="A71" authorId="0">
      <text>
        <r>
          <rPr>
            <sz val="10"/>
            <rFont val="Arial"/>
            <family val="2"/>
          </rPr>
          <t xml:space="preserve">SET TO ZERO IF NOT USED
Cv is the flow coefficient, which is often given for components like valves.
It is used to convert to pressure drop across a component for a given flow rate.</t>
        </r>
      </text>
    </comment>
    <comment ref="A72" authorId="0">
      <text>
        <r>
          <rPr>
            <sz val="10"/>
            <rFont val="Arial"/>
            <family val="2"/>
          </rPr>
          <t xml:space="preserve">ADVANCED SETTING
Additional pressure loss in the fuel system.
May be used to account for valves and other restrictions.</t>
        </r>
      </text>
    </comment>
    <comment ref="A73" authorId="0">
      <text>
        <r>
          <rPr>
            <sz val="10"/>
            <rFont val="Arial"/>
            <family val="2"/>
          </rPr>
          <t xml:space="preserve">ADVANCED SETTING
Additional pressure loss in the fuel system.
May be used to account for regenerative cooling channels.</t>
        </r>
      </text>
    </comment>
    <comment ref="A76" authorId="0">
      <text>
        <r>
          <rPr>
            <sz val="10"/>
            <rFont val="Arial"/>
            <family val="2"/>
          </rPr>
          <t xml:space="preserve">ADVANCED SETTING
SET TO ZERO IF NOT USED
This value allows an override of the calculated CdA with one found in testing.</t>
        </r>
      </text>
    </comment>
    <comment ref="A77" authorId="0">
      <text>
        <r>
          <rPr>
            <sz val="10"/>
            <rFont val="Arial"/>
            <family val="2"/>
          </rPr>
          <t xml:space="preserve">Diameter of the fuel orifice(s).
Select from a list of hole sizes which can be made with standard drill bits.</t>
        </r>
      </text>
    </comment>
    <comment ref="A78" authorId="0">
      <text>
        <r>
          <rPr>
            <sz val="10"/>
            <rFont val="Arial"/>
            <family val="2"/>
          </rPr>
          <t xml:space="preserve">Number of fuel injection holes.</t>
        </r>
      </text>
    </comment>
    <comment ref="A79"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80" authorId="0">
      <text>
        <r>
          <rPr>
            <sz val="10"/>
            <rFont val="Arial"/>
            <family val="2"/>
          </rPr>
          <t xml:space="preserve">Diameter of the fuel orifice(s).
Select from a list of hole sizes which can be made with standard drill bits.</t>
        </r>
      </text>
    </comment>
    <comment ref="A81" authorId="0">
      <text>
        <r>
          <rPr>
            <sz val="10"/>
            <rFont val="Arial"/>
            <family val="2"/>
          </rPr>
          <t xml:space="preserve">Number of fuel injection holes.</t>
        </r>
      </text>
    </comment>
    <comment ref="A82"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83" authorId="0">
      <text>
        <r>
          <rPr>
            <sz val="10"/>
            <rFont val="Arial"/>
            <family val="2"/>
          </rPr>
          <t xml:space="preserve">Diameter of the fuel orifice(s).
Select from a list of hole sizes which can be made with standard drill bits.</t>
        </r>
      </text>
    </comment>
    <comment ref="A84" authorId="0">
      <text>
        <r>
          <rPr>
            <sz val="10"/>
            <rFont val="Arial"/>
            <family val="2"/>
          </rPr>
          <t xml:space="preserve">Number of fuel injection holes.</t>
        </r>
      </text>
    </comment>
    <comment ref="A85"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86" authorId="0">
      <text>
        <r>
          <rPr>
            <sz val="10"/>
            <rFont val="Arial"/>
            <family val="2"/>
          </rPr>
          <t xml:space="preserve">Outer diameter of fuel annulus.</t>
        </r>
      </text>
    </comment>
    <comment ref="A87" authorId="0">
      <text>
        <r>
          <rPr>
            <sz val="10"/>
            <rFont val="Arial"/>
            <family val="2"/>
          </rPr>
          <t xml:space="preserve">Inner diameter of fuel annulus.</t>
        </r>
      </text>
    </comment>
    <comment ref="A88" authorId="0">
      <text>
        <r>
          <rPr>
            <sz val="10"/>
            <rFont val="Arial"/>
            <family val="2"/>
          </rPr>
          <t xml:space="preserve">Number of fuel injection annuluses.</t>
        </r>
      </text>
    </comment>
    <comment ref="A89"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90" authorId="0">
      <text>
        <r>
          <rPr>
            <sz val="10"/>
            <rFont val="Arial"/>
            <family val="2"/>
          </rPr>
          <t xml:space="preserve">Width of primary rectangular fuel slot.</t>
        </r>
      </text>
    </comment>
    <comment ref="A91" authorId="0">
      <text>
        <r>
          <rPr>
            <sz val="10"/>
            <rFont val="Arial"/>
            <family val="2"/>
          </rPr>
          <t xml:space="preserve">Length of primary rectangular fuel slot.</t>
        </r>
      </text>
    </comment>
    <comment ref="A92" authorId="0">
      <text>
        <r>
          <rPr>
            <sz val="10"/>
            <rFont val="Arial"/>
            <family val="2"/>
          </rPr>
          <t xml:space="preserve">Number of primary fuel injection slots.</t>
        </r>
      </text>
    </comment>
    <comment ref="A93"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94" authorId="0">
      <text>
        <r>
          <rPr>
            <sz val="10"/>
            <rFont val="Arial"/>
            <family val="2"/>
          </rPr>
          <t xml:space="preserve">Width of secondary rectangular fuel slot.</t>
        </r>
      </text>
    </comment>
    <comment ref="A95" authorId="0">
      <text>
        <r>
          <rPr>
            <sz val="10"/>
            <rFont val="Arial"/>
            <family val="2"/>
          </rPr>
          <t xml:space="preserve">Length of secondary rectangular fuel slot.</t>
        </r>
      </text>
    </comment>
    <comment ref="A96" authorId="0">
      <text>
        <r>
          <rPr>
            <sz val="10"/>
            <rFont val="Arial"/>
            <family val="2"/>
          </rPr>
          <t xml:space="preserve">Number of secondary fuel injection slots.</t>
        </r>
      </text>
    </comment>
    <comment ref="A97" authorId="0">
      <text>
        <r>
          <rPr>
            <sz val="10"/>
            <rFont val="Arial"/>
            <family val="2"/>
          </rPr>
          <t xml:space="preserve">The discharge coefficient is the ratio of actual flow through an orifice vs. theoretical, usually found experimentally.
Cd values are likely to be lower than literature states because HalfCatSim does not account for all pressure losses, unless accurately input in the "Additional Loss" field.
This parameter is useful for matching theoretical flow rates to actual data. Results may vary.
Recommended value:  0.4 - 0.5</t>
        </r>
      </text>
    </comment>
    <comment ref="A98" authorId="0">
      <text>
        <r>
          <rPr>
            <sz val="10"/>
            <rFont val="Arial"/>
            <family val="2"/>
          </rPr>
          <t xml:space="preserve">Diameter of fuel-centered pintle tip.</t>
        </r>
      </text>
    </comment>
    <comment ref="A101" authorId="0">
      <text>
        <r>
          <rPr>
            <sz val="10"/>
            <rFont val="Arial"/>
            <family val="2"/>
          </rPr>
          <t xml:space="preserve">Chamber inner diameter.</t>
        </r>
      </text>
    </comment>
    <comment ref="A102" authorId="0">
      <text>
        <r>
          <rPr>
            <sz val="10"/>
            <rFont val="Arial"/>
            <family val="2"/>
          </rPr>
          <t xml:space="preserve">Chamber inner length, from injector face to nozzle entrance. (Approximately)</t>
        </r>
      </text>
    </comment>
    <comment ref="A103" authorId="0">
      <text>
        <r>
          <rPr>
            <sz val="10"/>
            <rFont val="Arial"/>
            <family val="2"/>
          </rPr>
          <t xml:space="preserve">Efficiency of the combustion process.
This affects chamber pressure, combustion temperature, and exhaust velocity.</t>
        </r>
      </text>
    </comment>
    <comment ref="A106" authorId="0">
      <text>
        <r>
          <rPr>
            <sz val="10"/>
            <rFont val="Arial"/>
            <family val="2"/>
          </rPr>
          <t xml:space="preserve">Nozzle throat diameter.
Does not take into account erosion that may occur in some nozzles,
such as those made of glass phenolic.</t>
        </r>
      </text>
    </comment>
    <comment ref="A107" authorId="0">
      <text>
        <r>
          <rPr>
            <sz val="10"/>
            <rFont val="Arial"/>
            <family val="2"/>
          </rPr>
          <t xml:space="preserve">Nozzle exit diameter.</t>
        </r>
      </text>
    </comment>
    <comment ref="A108" authorId="0">
      <text>
        <r>
          <rPr>
            <sz val="10"/>
            <rFont val="Arial"/>
            <family val="2"/>
          </rPr>
          <t xml:space="preserve">Half angle of nozzle expansion.
This is measured from the nozzle centerline to one wall of the diverging cone.
A typical conical nozzle will have a half angle of 10° - 20°.</t>
        </r>
      </text>
    </comment>
    <comment ref="A109" authorId="0">
      <text>
        <r>
          <rPr>
            <sz val="10"/>
            <rFont val="Arial"/>
            <family val="2"/>
          </rPr>
          <t xml:space="preserve">Efficiency of the physical nozzle due to skin friction, shockwaves, and surface imperfections.
Recommended values:
Conical nozzle: 95%
Bell nozzle: 98%</t>
        </r>
      </text>
    </comment>
    <comment ref="A112" authorId="0">
      <text>
        <r>
          <rPr>
            <sz val="10"/>
            <rFont val="Arial"/>
            <family val="2"/>
          </rPr>
          <t xml:space="preserve">HalfCat switches the N2O tank from liquid to gas blowdown when ox mass falls below this fraction of the initial mass (hard-coded in Calculation!BP).</t>
        </r>
      </text>
    </comment>
    <comment ref="A113" authorId="0">
      <text>
        <r>
          <rPr>
            <sz val="10"/>
            <rFont val="Arial"/>
            <family val="2"/>
          </rPr>
          <t xml:space="preserve">HalfCat limits how fast reported thrust may rise during startup (hard-coded in Calculation!BH). Numerical smoothing, not physics.</t>
        </r>
      </text>
    </comment>
    <comment ref="A119" authorId="0">
      <text>
        <r>
          <rPr>
            <sz val="10"/>
            <rFont val="Arial"/>
            <family val="2"/>
          </rPr>
          <t xml:space="preserve">Manufacturer assigned in .eng file.</t>
        </r>
      </text>
    </comment>
    <comment ref="A120" authorId="0">
      <text>
        <r>
          <rPr>
            <sz val="10"/>
            <rFont val="Arial"/>
            <family val="2"/>
          </rPr>
          <t xml:space="preserve">Mass of launch vehicle with no propellant loaded.</t>
        </r>
      </text>
    </comment>
    <comment ref="A121" authorId="0">
      <text>
        <r>
          <rPr>
            <sz val="10"/>
            <rFont val="Arial"/>
            <family val="2"/>
          </rPr>
          <t xml:space="preserve">Price of fuel per unit volume.</t>
        </r>
      </text>
    </comment>
    <comment ref="A122" authorId="0">
      <text>
        <r>
          <rPr>
            <sz val="10"/>
            <rFont val="Arial"/>
            <family val="2"/>
          </rPr>
          <t xml:space="preserve">Price per unit mass of oxidizer.</t>
        </r>
      </text>
    </comment>
    <comment ref="A123" authorId="0">
      <text>
        <r>
          <rPr>
            <sz val="10"/>
            <rFont val="Arial"/>
            <family val="2"/>
          </rPr>
          <t xml:space="preserve">Additional consumable costs per firing.</t>
        </r>
      </text>
    </comment>
    <comment ref="A124" authorId="0">
      <text>
        <r>
          <rPr>
            <sz val="10"/>
            <rFont val="Arial"/>
            <family val="2"/>
          </rPr>
          <t xml:space="preserve">Diameter of oxidizer vent hole.</t>
        </r>
      </text>
    </comment>
  </commentList>
</comments>
</file>

<file path=xl/sharedStrings.xml><?xml version="1.0" encoding="utf-8"?>
<sst xmlns="http://schemas.openxmlformats.org/spreadsheetml/2006/main" count="590" uniqueCount="355">
  <si>
    <t xml:space="preserve">LIQUID ENGINE SIM — INPUTS</t>
  </si>
  <si>
    <t xml:space="preserve">Enter values in the blue cells. Hover a parameter name for HalfCat's notes. Save before running the sim.</t>
  </si>
  <si>
    <t xml:space="preserve">Parameter</t>
  </si>
  <si>
    <t xml:space="preserve">Value</t>
  </si>
  <si>
    <t xml:space="preserve">Unit</t>
  </si>
  <si>
    <t xml:space="preserve">Note</t>
  </si>
  <si>
    <t xml:space="preserve">HalfCat cell</t>
  </si>
  <si>
    <t xml:space="preserve">Key (read by Python)</t>
  </si>
  <si>
    <t xml:space="preserve">SIMULATION</t>
  </si>
  <si>
    <t xml:space="preserve">Timestep</t>
  </si>
  <si>
    <t xml:space="preserve">s</t>
  </si>
  <si>
    <t xml:space="preserve">C9</t>
  </si>
  <si>
    <t xml:space="preserve">simulation.timestep_s</t>
  </si>
  <si>
    <t xml:space="preserve">x</t>
  </si>
  <si>
    <t xml:space="preserve">ENVIRONMENT</t>
  </si>
  <si>
    <t xml:space="preserve">Altitude</t>
  </si>
  <si>
    <t xml:space="preserve">ft</t>
  </si>
  <si>
    <t xml:space="preserve">C11</t>
  </si>
  <si>
    <t xml:space="preserve">environment.altitude_ft</t>
  </si>
  <si>
    <t xml:space="preserve">OXIDIZER (N2O) — TANK</t>
  </si>
  <si>
    <t xml:space="preserve">Tank outer diameter</t>
  </si>
  <si>
    <t xml:space="preserve">in</t>
  </si>
  <si>
    <t xml:space="preserve">G3</t>
  </si>
  <si>
    <t xml:space="preserve">oxidizer.tank.outer_diameter_in</t>
  </si>
  <si>
    <t xml:space="preserve">Wall thickness</t>
  </si>
  <si>
    <t xml:space="preserve">G4</t>
  </si>
  <si>
    <t xml:space="preserve">oxidizer.tank.wall_thickness_in</t>
  </si>
  <si>
    <t xml:space="preserve">Displacement</t>
  </si>
  <si>
    <t xml:space="preserve">G7</t>
  </si>
  <si>
    <t xml:space="preserve">oxidizer.tank.displacement_in</t>
  </si>
  <si>
    <t xml:space="preserve">N2O temperature</t>
  </si>
  <si>
    <t xml:space="preserve">°F</t>
  </si>
  <si>
    <t xml:space="preserve">G8</t>
  </si>
  <si>
    <t xml:space="preserve">oxidizer.tank.temperature_F</t>
  </si>
  <si>
    <t xml:space="preserve">Siphon diameter</t>
  </si>
  <si>
    <t xml:space="preserve">concentric tanks only</t>
  </si>
  <si>
    <t xml:space="preserve">G6</t>
  </si>
  <si>
    <t xml:space="preserve">oxidizer.tank.siphon_diameter_in</t>
  </si>
  <si>
    <t xml:space="preserve">OXIDIZER — BLOWDOWN MODEL</t>
  </si>
  <si>
    <t xml:space="preserve">Decay constant (liquid)</t>
  </si>
  <si>
    <t xml:space="preserve">–</t>
  </si>
  <si>
    <t xml:space="preserve">G11</t>
  </si>
  <si>
    <t xml:space="preserve">oxidizer.blowdown.decay_constant_liquid</t>
  </si>
  <si>
    <t xml:space="preserve">Decay constant (gas)</t>
  </si>
  <si>
    <t xml:space="preserve">1/s</t>
  </si>
  <si>
    <t xml:space="preserve">G12</t>
  </si>
  <si>
    <t xml:space="preserve">oxidizer.blowdown.decay_constant_gas</t>
  </si>
  <si>
    <t xml:space="preserve">OXIDIZER — FEED SYSTEM</t>
  </si>
  <si>
    <t xml:space="preserve">Feed line diameter</t>
  </si>
  <si>
    <t xml:space="preserve">G18</t>
  </si>
  <si>
    <t xml:space="preserve">oxidizer.feed.line_diameter_in</t>
  </si>
  <si>
    <t xml:space="preserve">Feed line length</t>
  </si>
  <si>
    <t xml:space="preserve">G21</t>
  </si>
  <si>
    <t xml:space="preserve">oxidizer.feed.line_length_in</t>
  </si>
  <si>
    <t xml:space="preserve">Line roughness</t>
  </si>
  <si>
    <t xml:space="preserve">G20</t>
  </si>
  <si>
    <t xml:space="preserve">oxidizer.feed.line_roughness_in</t>
  </si>
  <si>
    <t xml:space="preserve">Component Cv</t>
  </si>
  <si>
    <t xml:space="preserve">G22</t>
  </si>
  <si>
    <t xml:space="preserve">oxidizer.feed.component_cv</t>
  </si>
  <si>
    <t xml:space="preserve">Additional loss</t>
  </si>
  <si>
    <t xml:space="preserve">psi</t>
  </si>
  <si>
    <t xml:space="preserve">G23</t>
  </si>
  <si>
    <t xml:space="preserve">oxidizer.feed.additional_loss_psi</t>
  </si>
  <si>
    <t xml:space="preserve">OXIDIZER — INJECTOR</t>
  </si>
  <si>
    <t xml:space="preserve">CdA override</t>
  </si>
  <si>
    <t xml:space="preserve">in²</t>
  </si>
  <si>
    <t xml:space="preserve">G27</t>
  </si>
  <si>
    <t xml:space="preserve">oxidizer.injector.cda_override_in2</t>
  </si>
  <si>
    <t xml:space="preserve">Hole set 1 diameter</t>
  </si>
  <si>
    <t xml:space="preserve">G31</t>
  </si>
  <si>
    <t xml:space="preserve">oxidizer.injector.holes.1.diameter_in</t>
  </si>
  <si>
    <t xml:space="preserve">Hole set 1 count</t>
  </si>
  <si>
    <t xml:space="preserve">G33</t>
  </si>
  <si>
    <t xml:space="preserve">oxidizer.injector.holes.1.count</t>
  </si>
  <si>
    <t xml:space="preserve">Hole set 1 Cd</t>
  </si>
  <si>
    <t xml:space="preserve">G34</t>
  </si>
  <si>
    <t xml:space="preserve">oxidizer.injector.holes.1.cd</t>
  </si>
  <si>
    <t xml:space="preserve">Hole set 2 diameter</t>
  </si>
  <si>
    <t xml:space="preserve">unused (count = 0)</t>
  </si>
  <si>
    <t xml:space="preserve">G36</t>
  </si>
  <si>
    <t xml:space="preserve">oxidizer.injector.holes.2.diameter_in</t>
  </si>
  <si>
    <t xml:space="preserve">Hole set 2 count</t>
  </si>
  <si>
    <t xml:space="preserve">G38</t>
  </si>
  <si>
    <t xml:space="preserve">oxidizer.injector.holes.2.count</t>
  </si>
  <si>
    <t xml:space="preserve">Hole set 2 Cd</t>
  </si>
  <si>
    <t xml:space="preserve">G39</t>
  </si>
  <si>
    <t xml:space="preserve">oxidizer.injector.holes.2.cd</t>
  </si>
  <si>
    <t xml:space="preserve">Hole set 3 diameter</t>
  </si>
  <si>
    <t xml:space="preserve">G41</t>
  </si>
  <si>
    <t xml:space="preserve">oxidizer.injector.holes.3.diameter_in</t>
  </si>
  <si>
    <t xml:space="preserve">Hole set 3 count</t>
  </si>
  <si>
    <t xml:space="preserve">G42</t>
  </si>
  <si>
    <t xml:space="preserve">oxidizer.injector.holes.3.count</t>
  </si>
  <si>
    <t xml:space="preserve">Hole set 3 Cd</t>
  </si>
  <si>
    <t xml:space="preserve">G43</t>
  </si>
  <si>
    <t xml:space="preserve">oxidizer.injector.holes.3.cd</t>
  </si>
  <si>
    <t xml:space="preserve">Annulus OD</t>
  </si>
  <si>
    <t xml:space="preserve">G45</t>
  </si>
  <si>
    <t xml:space="preserve">oxidizer.injector.annulus.outer_diameter_in</t>
  </si>
  <si>
    <t xml:space="preserve">Annulus ID</t>
  </si>
  <si>
    <t xml:space="preserve">G46</t>
  </si>
  <si>
    <t xml:space="preserve">oxidizer.injector.annulus.inner_diameter_in</t>
  </si>
  <si>
    <t xml:space="preserve">Annulus count</t>
  </si>
  <si>
    <t xml:space="preserve">G49</t>
  </si>
  <si>
    <t xml:space="preserve">oxidizer.injector.annulus.count</t>
  </si>
  <si>
    <t xml:space="preserve">Annulus Cd</t>
  </si>
  <si>
    <t xml:space="preserve">G48</t>
  </si>
  <si>
    <t xml:space="preserve">oxidizer.injector.annulus.cd</t>
  </si>
  <si>
    <t xml:space="preserve">Primary slot width</t>
  </si>
  <si>
    <t xml:space="preserve">G51</t>
  </si>
  <si>
    <t xml:space="preserve">oxidizer.injector.primary_slots.width_in</t>
  </si>
  <si>
    <t xml:space="preserve">Primary slot length</t>
  </si>
  <si>
    <t xml:space="preserve">G52</t>
  </si>
  <si>
    <t xml:space="preserve">oxidizer.injector.primary_slots.length_in</t>
  </si>
  <si>
    <t xml:space="preserve">Primary slot count</t>
  </si>
  <si>
    <t xml:space="preserve">G53</t>
  </si>
  <si>
    <t xml:space="preserve">oxidizer.injector.primary_slots.count</t>
  </si>
  <si>
    <t xml:space="preserve">Primary slot Cd</t>
  </si>
  <si>
    <t xml:space="preserve">G54</t>
  </si>
  <si>
    <t xml:space="preserve">oxidizer.injector.primary_slots.cd</t>
  </si>
  <si>
    <t xml:space="preserve">Secondary slot width</t>
  </si>
  <si>
    <t xml:space="preserve">G56</t>
  </si>
  <si>
    <t xml:space="preserve">oxidizer.injector.secondary_slots.width_in</t>
  </si>
  <si>
    <t xml:space="preserve">Secondary slot length</t>
  </si>
  <si>
    <t xml:space="preserve">G57</t>
  </si>
  <si>
    <t xml:space="preserve">oxidizer.injector.secondary_slots.length_in</t>
  </si>
  <si>
    <t xml:space="preserve">Secondary slot count</t>
  </si>
  <si>
    <t xml:space="preserve">G58</t>
  </si>
  <si>
    <t xml:space="preserve">oxidizer.injector.secondary_slots.count</t>
  </si>
  <si>
    <t xml:space="preserve">Secondary slot Cd</t>
  </si>
  <si>
    <t xml:space="preserve">G59</t>
  </si>
  <si>
    <t xml:space="preserve">oxidizer.injector.secondary_slots.cd</t>
  </si>
  <si>
    <t xml:space="preserve">Pintle tip diameter</t>
  </si>
  <si>
    <t xml:space="preserve">display only</t>
  </si>
  <si>
    <t xml:space="preserve">G61</t>
  </si>
  <si>
    <t xml:space="preserve">oxidizer.injector.pintle.tip_diameter_in</t>
  </si>
  <si>
    <t xml:space="preserve">FUEL</t>
  </si>
  <si>
    <t xml:space="preserve">Fuel</t>
  </si>
  <si>
    <t xml:space="preserve">E85</t>
  </si>
  <si>
    <t xml:space="preserve">K3</t>
  </si>
  <si>
    <t xml:space="preserve">fuel.name</t>
  </si>
  <si>
    <t xml:space="preserve">Tank style</t>
  </si>
  <si>
    <t xml:space="preserve">Stacked</t>
  </si>
  <si>
    <t xml:space="preserve">K4</t>
  </si>
  <si>
    <t xml:space="preserve">fuel.tank_style</t>
  </si>
  <si>
    <t xml:space="preserve">Density override</t>
  </si>
  <si>
    <t xml:space="preserve">kg/m³</t>
  </si>
  <si>
    <t xml:space="preserve">K27</t>
  </si>
  <si>
    <t xml:space="preserve">fuel.density_override_kg_m3</t>
  </si>
  <si>
    <t xml:space="preserve">FUEL — TANK</t>
  </si>
  <si>
    <t xml:space="preserve">K5</t>
  </si>
  <si>
    <t xml:space="preserve">fuel.tank.outer_diameter_in</t>
  </si>
  <si>
    <t xml:space="preserve">K6</t>
  </si>
  <si>
    <t xml:space="preserve">fuel.tank.wall_thickness_in</t>
  </si>
  <si>
    <t xml:space="preserve">K9</t>
  </si>
  <si>
    <t xml:space="preserve">fuel.tank.displacement_in</t>
  </si>
  <si>
    <t xml:space="preserve">Tank length</t>
  </si>
  <si>
    <t xml:space="preserve">K8</t>
  </si>
  <si>
    <t xml:space="preserve">fuel.tank.length_in</t>
  </si>
  <si>
    <t xml:space="preserve">Piston loss</t>
  </si>
  <si>
    <t xml:space="preserve">K10</t>
  </si>
  <si>
    <t xml:space="preserve">fuel.tank.piston_loss_psi</t>
  </si>
  <si>
    <t xml:space="preserve">FUEL — FEED SYSTEM</t>
  </si>
  <si>
    <t xml:space="preserve">K16</t>
  </si>
  <si>
    <t xml:space="preserve">fuel.feed.line_diameter_in</t>
  </si>
  <si>
    <t xml:space="preserve">K19</t>
  </si>
  <si>
    <t xml:space="preserve">fuel.feed.line_length_in</t>
  </si>
  <si>
    <t xml:space="preserve">K18</t>
  </si>
  <si>
    <t xml:space="preserve">fuel.feed.line_roughness_in</t>
  </si>
  <si>
    <t xml:space="preserve">K20</t>
  </si>
  <si>
    <t xml:space="preserve">fuel.feed.component_cv</t>
  </si>
  <si>
    <t xml:space="preserve">K21</t>
  </si>
  <si>
    <t xml:space="preserve">fuel.feed.additional_loss_psi</t>
  </si>
  <si>
    <t xml:space="preserve">Regen channel loss</t>
  </si>
  <si>
    <t xml:space="preserve">K22</t>
  </si>
  <si>
    <t xml:space="preserve">fuel.feed.regen_channel_loss_psi</t>
  </si>
  <si>
    <t xml:space="preserve">FUEL — INJECTOR</t>
  </si>
  <si>
    <t xml:space="preserve">K26</t>
  </si>
  <si>
    <t xml:space="preserve">fuel.injector.cda_override_in2</t>
  </si>
  <si>
    <t xml:space="preserve">K31</t>
  </si>
  <si>
    <t xml:space="preserve">fuel.injector.holes.1.diameter_in</t>
  </si>
  <si>
    <t xml:space="preserve">K33</t>
  </si>
  <si>
    <t xml:space="preserve">fuel.injector.holes.1.count</t>
  </si>
  <si>
    <t xml:space="preserve">K34</t>
  </si>
  <si>
    <t xml:space="preserve">fuel.injector.holes.1.cd</t>
  </si>
  <si>
    <t xml:space="preserve">K36</t>
  </si>
  <si>
    <t xml:space="preserve">fuel.injector.holes.2.diameter_in</t>
  </si>
  <si>
    <t xml:space="preserve">K38</t>
  </si>
  <si>
    <t xml:space="preserve">fuel.injector.holes.2.count</t>
  </si>
  <si>
    <t xml:space="preserve">K39</t>
  </si>
  <si>
    <t xml:space="preserve">fuel.injector.holes.2.cd</t>
  </si>
  <si>
    <t xml:space="preserve">K41</t>
  </si>
  <si>
    <t xml:space="preserve">fuel.injector.holes.3.diameter_in</t>
  </si>
  <si>
    <t xml:space="preserve">K42</t>
  </si>
  <si>
    <t xml:space="preserve">fuel.injector.holes.3.count</t>
  </si>
  <si>
    <t xml:space="preserve">K43</t>
  </si>
  <si>
    <t xml:space="preserve">fuel.injector.holes.3.cd</t>
  </si>
  <si>
    <t xml:space="preserve">K45</t>
  </si>
  <si>
    <t xml:space="preserve">fuel.injector.annulus.outer_diameter_in</t>
  </si>
  <si>
    <t xml:space="preserve">K46</t>
  </si>
  <si>
    <t xml:space="preserve">fuel.injector.annulus.inner_diameter_in</t>
  </si>
  <si>
    <t xml:space="preserve">K49</t>
  </si>
  <si>
    <t xml:space="preserve">fuel.injector.annulus.count</t>
  </si>
  <si>
    <t xml:space="preserve">K48</t>
  </si>
  <si>
    <t xml:space="preserve">fuel.injector.annulus.cd</t>
  </si>
  <si>
    <t xml:space="preserve">K51</t>
  </si>
  <si>
    <t xml:space="preserve">fuel.injector.primary_slots.width_in</t>
  </si>
  <si>
    <t xml:space="preserve">K52</t>
  </si>
  <si>
    <t xml:space="preserve">fuel.injector.primary_slots.length_in</t>
  </si>
  <si>
    <t xml:space="preserve">K53</t>
  </si>
  <si>
    <t xml:space="preserve">fuel.injector.primary_slots.count</t>
  </si>
  <si>
    <t xml:space="preserve">K54</t>
  </si>
  <si>
    <t xml:space="preserve">fuel.injector.primary_slots.cd</t>
  </si>
  <si>
    <t xml:space="preserve">K56</t>
  </si>
  <si>
    <t xml:space="preserve">fuel.injector.secondary_slots.width_in</t>
  </si>
  <si>
    <t xml:space="preserve">K57</t>
  </si>
  <si>
    <t xml:space="preserve">fuel.injector.secondary_slots.length_in</t>
  </si>
  <si>
    <t xml:space="preserve">K58</t>
  </si>
  <si>
    <t xml:space="preserve">fuel.injector.secondary_slots.count</t>
  </si>
  <si>
    <t xml:space="preserve">K59</t>
  </si>
  <si>
    <t xml:space="preserve">fuel.injector.secondary_slots.cd</t>
  </si>
  <si>
    <t xml:space="preserve">K61</t>
  </si>
  <si>
    <t xml:space="preserve">fuel.injector.pintle.tip_diameter_in</t>
  </si>
  <si>
    <t xml:space="preserve">THRUST CHAMBER</t>
  </si>
  <si>
    <t xml:space="preserve">Chamber diameter</t>
  </si>
  <si>
    <t xml:space="preserve">C27</t>
  </si>
  <si>
    <t xml:space="preserve">chamber.diameter_in</t>
  </si>
  <si>
    <t xml:space="preserve">Chamber length</t>
  </si>
  <si>
    <t xml:space="preserve">C28</t>
  </si>
  <si>
    <t xml:space="preserve">chamber.length_in</t>
  </si>
  <si>
    <t xml:space="preserve">C* efficiency</t>
  </si>
  <si>
    <t xml:space="preserve">C32</t>
  </si>
  <si>
    <t xml:space="preserve">chamber.cstar_efficiency</t>
  </si>
  <si>
    <t xml:space="preserve">NOZZLE</t>
  </si>
  <si>
    <t xml:space="preserve">Throat diameter</t>
  </si>
  <si>
    <t xml:space="preserve">C15</t>
  </si>
  <si>
    <t xml:space="preserve">nozzle.throat_diameter_in</t>
  </si>
  <si>
    <t xml:space="preserve">Exit diameter</t>
  </si>
  <si>
    <t xml:space="preserve">C17</t>
  </si>
  <si>
    <t xml:space="preserve">nozzle.exit_diameter_in</t>
  </si>
  <si>
    <t xml:space="preserve">Exit half angle</t>
  </si>
  <si>
    <t xml:space="preserve">°</t>
  </si>
  <si>
    <t xml:space="preserve">C19</t>
  </si>
  <si>
    <t xml:space="preserve">nozzle.exit_half_angle_deg</t>
  </si>
  <si>
    <t xml:space="preserve">Nozzle efficiency</t>
  </si>
  <si>
    <t xml:space="preserve">C24</t>
  </si>
  <si>
    <t xml:space="preserve">nozzle.efficiency</t>
  </si>
  <si>
    <t xml:space="preserve">HALFCAT FIXED VALUES (built into its formulas, not inputs there)</t>
  </si>
  <si>
    <t xml:space="preserve">Gas phase switch</t>
  </si>
  <si>
    <t xml:space="preserve">match HalfCat</t>
  </si>
  <si>
    <t xml:space="preserve">halfcat.gas_phase_mass_fraction</t>
  </si>
  <si>
    <t xml:space="preserve">Thrust rise rate cap</t>
  </si>
  <si>
    <t xml:space="preserve">N/s</t>
  </si>
  <si>
    <t xml:space="preserve">halfcat.thrust_rise_cap_N_per_s</t>
  </si>
  <si>
    <t xml:space="preserve">OUTSIDE THE BURN SIM</t>
  </si>
  <si>
    <t xml:space="preserve">.eng motor diameter</t>
  </si>
  <si>
    <t xml:space="preserve">.eng header</t>
  </si>
  <si>
    <t xml:space="preserve">S3</t>
  </si>
  <si>
    <t xml:space="preserve">eng_file.motor_diameter_in</t>
  </si>
  <si>
    <t xml:space="preserve">.eng total length</t>
  </si>
  <si>
    <t xml:space="preserve">S4</t>
  </si>
  <si>
    <t xml:space="preserve">eng_file.total_length_in</t>
  </si>
  <si>
    <t xml:space="preserve">.eng hardware mass</t>
  </si>
  <si>
    <t xml:space="preserve">lb</t>
  </si>
  <si>
    <t xml:space="preserve">S5</t>
  </si>
  <si>
    <t xml:space="preserve">eng_file.hardware_mass_lb</t>
  </si>
  <si>
    <t xml:space="preserve">.eng manufacturer</t>
  </si>
  <si>
    <t xml:space="preserve">HCR</t>
  </si>
  <si>
    <t xml:space="preserve">O22</t>
  </si>
  <si>
    <t xml:space="preserve">eng_file.manufacturer</t>
  </si>
  <si>
    <t xml:space="preserve">Vehicle dry mass</t>
  </si>
  <si>
    <t xml:space="preserve">lbm</t>
  </si>
  <si>
    <t xml:space="preserve">vehicle stats</t>
  </si>
  <si>
    <t xml:space="preserve">O25</t>
  </si>
  <si>
    <t xml:space="preserve">vehicle.dry_mass_lbm</t>
  </si>
  <si>
    <t xml:space="preserve">Fuel price</t>
  </si>
  <si>
    <t xml:space="preserve">$/gal</t>
  </si>
  <si>
    <t xml:space="preserve">cost estimate</t>
  </si>
  <si>
    <t xml:space="preserve">O34</t>
  </si>
  <si>
    <t xml:space="preserve">cost.fuel_price_per_gal</t>
  </si>
  <si>
    <t xml:space="preserve">Oxidizer price</t>
  </si>
  <si>
    <t xml:space="preserve">$/lbm</t>
  </si>
  <si>
    <t xml:space="preserve">O37</t>
  </si>
  <si>
    <t xml:space="preserve">cost.oxidizer_price_per_lbm</t>
  </si>
  <si>
    <t xml:space="preserve">Other costs per firing</t>
  </si>
  <si>
    <t xml:space="preserve">$</t>
  </si>
  <si>
    <t xml:space="preserve">O40</t>
  </si>
  <si>
    <t xml:space="preserve">cost.other_costs</t>
  </si>
  <si>
    <t xml:space="preserve">Fill vent hole diameter</t>
  </si>
  <si>
    <t xml:space="preserve">mm</t>
  </si>
  <si>
    <t xml:space="preserve">fill time estimate</t>
  </si>
  <si>
    <t xml:space="preserve">C36</t>
  </si>
  <si>
    <t xml:space="preserve">fill_vent.hole_diameter_mm</t>
  </si>
  <si>
    <t xml:space="preserve">SIMULATION SETUP</t>
  </si>
  <si>
    <t xml:space="preserve">THERMOFLUID PERFORMANCE</t>
  </si>
  <si>
    <t xml:space="preserve">Prop Selection</t>
  </si>
  <si>
    <t xml:space="preserve">Efficiencies and Blowdown Model</t>
  </si>
  <si>
    <t xml:space="preserve">Oxidizer</t>
  </si>
  <si>
    <t xml:space="preserve">Imperial</t>
  </si>
  <si>
    <t xml:space="preserve">Metric</t>
  </si>
  <si>
    <t xml:space="preserve">Notes</t>
  </si>
  <si>
    <r>
      <rPr>
        <sz val="11"/>
        <color rgb="FF000000"/>
        <rFont val="Calibri"/>
        <family val="2"/>
        <charset val="1"/>
      </rPr>
      <t xml:space="preserve">N</t>
    </r>
    <r>
      <rPr>
        <vertAlign val="subscript"/>
        <sz val="11"/>
        <color rgb="FF000000"/>
        <rFont val="Calibri"/>
        <family val="2"/>
        <charset val="1"/>
      </rPr>
      <t xml:space="preserve">2</t>
    </r>
    <r>
      <rPr>
        <sz val="11"/>
        <color rgb="FF000000"/>
        <rFont val="Calibri"/>
        <family val="2"/>
        <charset val="1"/>
      </rPr>
      <t xml:space="preserve">O</t>
    </r>
  </si>
  <si>
    <t xml:space="preserve">C* Efficiency</t>
  </si>
  <si>
    <t xml:space="preserve">Nozzle Efficiency</t>
  </si>
  <si>
    <t xml:space="preserve">Ambient Conditions</t>
  </si>
  <si>
    <t xml:space="preserve">Decay Constant (liquid)</t>
  </si>
  <si>
    <t xml:space="preserve">Decay Constant (vapor)</t>
  </si>
  <si>
    <t xml:space="preserve">Sim Duration</t>
  </si>
  <si>
    <t xml:space="preserve">Feed System ΔP</t>
  </si>
  <si>
    <t xml:space="preserve">Ambient Temperature</t>
  </si>
  <si>
    <t xml:space="preserve">F</t>
  </si>
  <si>
    <t xml:space="preserve">C</t>
  </si>
  <si>
    <t xml:space="preserve">Oxidizer Feed Cv</t>
  </si>
  <si>
    <t xml:space="preserve">Ambient Pressure</t>
  </si>
  <si>
    <t xml:space="preserve">Pa</t>
  </si>
  <si>
    <t xml:space="preserve">Ambient at FAR</t>
  </si>
  <si>
    <t xml:space="preserve">Fuel Feed Cv</t>
  </si>
  <si>
    <t xml:space="preserve">Fuel Piston Loss</t>
  </si>
  <si>
    <t xml:space="preserve">GEOMETRIC CHARACTERISTICS</t>
  </si>
  <si>
    <t xml:space="preserve">Tank</t>
  </si>
  <si>
    <t xml:space="preserve">Tank OD</t>
  </si>
  <si>
    <t xml:space="preserve">m</t>
  </si>
  <si>
    <t xml:space="preserve">Tank Wall Thickness</t>
  </si>
  <si>
    <t xml:space="preserve">Tank Length</t>
  </si>
  <si>
    <t xml:space="preserve">Bulkhead Insertion Length</t>
  </si>
  <si>
    <t xml:space="preserve">Piston Length</t>
  </si>
  <si>
    <t xml:space="preserve">Static Vent Position</t>
  </si>
  <si>
    <t xml:space="preserve">Measured from tank aft</t>
  </si>
  <si>
    <t xml:space="preserve">Static Vent Diameter</t>
  </si>
  <si>
    <t xml:space="preserve">Oxidizer Length</t>
  </si>
  <si>
    <t xml:space="preserve">Fuel Length</t>
  </si>
  <si>
    <t xml:space="preserve">Feed System</t>
  </si>
  <si>
    <t xml:space="preserve">Ox Line Length</t>
  </si>
  <si>
    <t xml:space="preserve">Ox Line Diameter</t>
  </si>
  <si>
    <t xml:space="preserve">Ox Line Roughness</t>
  </si>
  <si>
    <t xml:space="preserve">Fuel Line Length</t>
  </si>
  <si>
    <t xml:space="preserve">Fuel Line Diameter</t>
  </si>
  <si>
    <t xml:space="preserve">Fuel Line Roughness</t>
  </si>
  <si>
    <t xml:space="preserve">Injector</t>
  </si>
  <si>
    <t xml:space="preserve">No. Oxidizer Holes</t>
  </si>
  <si>
    <t xml:space="preserve">Oxidizer Hole Diameter</t>
  </si>
  <si>
    <t xml:space="preserve">Oxidizer Cd</t>
  </si>
  <si>
    <t xml:space="preserve">No. Fuel Holes</t>
  </si>
  <si>
    <t xml:space="preserve">Fuel Hole Diameter</t>
  </si>
  <si>
    <t xml:space="preserve">Fuel Cd</t>
  </si>
  <si>
    <t xml:space="preserve">Chamber </t>
  </si>
  <si>
    <t xml:space="preserve">Chamber ID</t>
  </si>
  <si>
    <t xml:space="preserve">Chamber Wall Thickness</t>
  </si>
  <si>
    <t xml:space="preserve">Chamber Length</t>
  </si>
  <si>
    <t xml:space="preserve">Nozzle</t>
  </si>
  <si>
    <t xml:space="preserve">Throat Diameter</t>
  </si>
  <si>
    <t xml:space="preserve">Exit Diameter</t>
  </si>
  <si>
    <t xml:space="preserve">Exit Half Angle</t>
  </si>
  <si>
    <t xml:space="preserve">deg</t>
  </si>
</sst>
</file>

<file path=xl/styles.xml><?xml version="1.0" encoding="utf-8"?>
<styleSheet xmlns="http://schemas.openxmlformats.org/spreadsheetml/2006/main">
  <numFmts count="7">
    <numFmt numFmtId="164" formatCode="General"/>
    <numFmt numFmtId="165" formatCode="0.00E+00"/>
    <numFmt numFmtId="166" formatCode="0.0"/>
    <numFmt numFmtId="167" formatCode="0.000"/>
    <numFmt numFmtId="168" formatCode="0.0000"/>
    <numFmt numFmtId="169" formatCode="0E+00"/>
    <numFmt numFmtId="170" formatCode="0.00"/>
  </numFmts>
  <fonts count="16">
    <font>
      <sz val="11"/>
      <color theme="1"/>
      <name val="Calibri"/>
      <family val="2"/>
      <charset val="1"/>
    </font>
    <font>
      <sz val="10"/>
      <name val="Arial"/>
      <family val="0"/>
    </font>
    <font>
      <sz val="10"/>
      <name val="Arial"/>
      <family val="0"/>
    </font>
    <font>
      <sz val="10"/>
      <name val="Arial"/>
      <family val="0"/>
    </font>
    <font>
      <b val="true"/>
      <sz val="14"/>
      <name val="Cambria"/>
      <family val="0"/>
      <charset val="1"/>
    </font>
    <font>
      <i val="true"/>
      <sz val="11"/>
      <color rgb="FF595959"/>
      <name val="Cambria"/>
      <family val="0"/>
      <charset val="1"/>
    </font>
    <font>
      <b val="true"/>
      <sz val="11"/>
      <name val="Cambria"/>
      <family val="0"/>
      <charset val="1"/>
    </font>
    <font>
      <b val="true"/>
      <sz val="11"/>
      <color rgb="FFFFFFFF"/>
      <name val="Cambria"/>
      <family val="0"/>
      <charset val="1"/>
    </font>
    <font>
      <sz val="9"/>
      <color rgb="FF808080"/>
      <name val="Cambria"/>
      <family val="0"/>
      <charset val="1"/>
    </font>
    <font>
      <sz val="11"/>
      <color rgb="FF808080"/>
      <name val="Cambria"/>
      <family val="0"/>
      <charset val="1"/>
    </font>
    <font>
      <sz val="10"/>
      <name val="Arial"/>
      <family val="2"/>
    </font>
    <font>
      <b val="true"/>
      <sz val="11"/>
      <color theme="1"/>
      <name val="Calibri"/>
      <family val="2"/>
      <charset val="1"/>
    </font>
    <font>
      <sz val="11"/>
      <color rgb="FF000000"/>
      <name val="Calibri"/>
      <family val="2"/>
      <charset val="1"/>
    </font>
    <font>
      <i val="true"/>
      <sz val="11"/>
      <color rgb="FF000000"/>
      <name val="Calibri"/>
      <family val="2"/>
      <charset val="1"/>
    </font>
    <font>
      <i val="true"/>
      <sz val="11"/>
      <color theme="1"/>
      <name val="Calibri"/>
      <family val="2"/>
      <charset val="1"/>
    </font>
    <font>
      <vertAlign val="subscript"/>
      <sz val="11"/>
      <color rgb="FF000000"/>
      <name val="Calibri"/>
      <family val="2"/>
      <charset val="1"/>
    </font>
  </fonts>
  <fills count="12">
    <fill>
      <patternFill patternType="none"/>
    </fill>
    <fill>
      <patternFill patternType="gray125"/>
    </fill>
    <fill>
      <patternFill patternType="solid">
        <fgColor rgb="FF595959"/>
        <bgColor rgb="FF385723"/>
      </patternFill>
    </fill>
    <fill>
      <patternFill patternType="solid">
        <fgColor rgb="FFDDEBF7"/>
        <bgColor rgb="FFCCFFFF"/>
      </patternFill>
    </fill>
    <fill>
      <patternFill patternType="solid">
        <fgColor rgb="FF002060"/>
        <bgColor rgb="FF000080"/>
      </patternFill>
    </fill>
    <fill>
      <patternFill patternType="solid">
        <fgColor rgb="FFC00000"/>
        <bgColor rgb="FF800000"/>
      </patternFill>
    </fill>
    <fill>
      <patternFill patternType="solid">
        <fgColor rgb="FF660033"/>
        <bgColor rgb="FF800000"/>
      </patternFill>
    </fill>
    <fill>
      <patternFill patternType="solid">
        <fgColor rgb="FF385723"/>
        <bgColor rgb="FF595959"/>
      </patternFill>
    </fill>
    <fill>
      <patternFill patternType="solid">
        <fgColor rgb="FF76B27C"/>
        <bgColor rgb="FF808080"/>
      </patternFill>
    </fill>
    <fill>
      <patternFill patternType="solid">
        <fgColor rgb="FFEFBDEB"/>
        <bgColor rgb="FFBFBFBF"/>
      </patternFill>
    </fill>
    <fill>
      <patternFill patternType="solid">
        <fgColor rgb="FFFFDBB6"/>
        <bgColor rgb="FFFFFFCC"/>
      </patternFill>
    </fill>
    <fill>
      <patternFill patternType="solid">
        <fgColor rgb="FFB4C7DC"/>
        <bgColor rgb="FFBFBFBF"/>
      </patternFill>
    </fill>
  </fills>
  <borders count="11">
    <border diagonalUp="false" diagonalDown="false">
      <left/>
      <right/>
      <top/>
      <bottom/>
      <diagonal/>
    </border>
    <border diagonalUp="false" diagonalDown="false">
      <left/>
      <right/>
      <top/>
      <bottom style="medium"/>
      <diagonal/>
    </border>
    <border diagonalUp="false" diagonalDown="false">
      <left style="thin">
        <color rgb="FFBFBFBF"/>
      </left>
      <right style="thin">
        <color rgb="FFBFBFBF"/>
      </right>
      <top style="thin">
        <color rgb="FFBFBFBF"/>
      </top>
      <bottom style="thin">
        <color rgb="FFBFBFBF"/>
      </bottom>
      <diagonal/>
    </border>
    <border diagonalUp="false" diagonalDown="false">
      <left style="medium"/>
      <right/>
      <top style="medium"/>
      <bottom/>
      <diagonal/>
    </border>
    <border diagonalUp="false" diagonalDown="false">
      <left/>
      <right/>
      <top style="medium"/>
      <bottom/>
      <diagonal/>
    </border>
    <border diagonalUp="false" diagonalDown="false">
      <left/>
      <right style="medium"/>
      <top style="medium"/>
      <bottom/>
      <diagonal/>
    </border>
    <border diagonalUp="false" diagonalDown="false">
      <left style="medium"/>
      <right/>
      <top/>
      <bottom/>
      <diagonal/>
    </border>
    <border diagonalUp="false" diagonalDown="false">
      <left/>
      <right style="medium"/>
      <top/>
      <bottom/>
      <diagonal/>
    </border>
    <border diagonalUp="false" diagonalDown="false">
      <left style="thin"/>
      <right style="thin"/>
      <top style="thin"/>
      <bottom style="thin"/>
      <diagonal/>
    </border>
    <border diagonalUp="false" diagonalDown="false">
      <left style="medium"/>
      <right/>
      <top/>
      <bottom style="medium"/>
      <diagonal/>
    </border>
    <border diagonalUp="false" diagonalDown="false">
      <left/>
      <right style="medium"/>
      <top/>
      <bottom style="mediu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72">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3" borderId="2" xfId="0" applyFont="false" applyBorder="true" applyAlignment="true" applyProtection="false">
      <alignment horizontal="right" vertical="bottom" textRotation="0" wrapText="false" indent="0" shrinkToFit="false"/>
      <protection locked="true" hidden="false"/>
    </xf>
    <xf numFmtId="164" fontId="0" fillId="0" borderId="0" xfId="0" applyFont="true" applyBorder="false" applyAlignment="true" applyProtection="false">
      <alignment horizontal="general" vertical="bottom" textRotation="0" wrapText="false" indent="1"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7" fillId="4"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5" fontId="0" fillId="3" borderId="2" xfId="0" applyFont="false" applyBorder="true" applyAlignment="true" applyProtection="false">
      <alignment horizontal="right"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7" fillId="5" borderId="0" xfId="0" applyFont="tru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3" borderId="2" xfId="0" applyFont="true" applyBorder="true" applyAlignment="true" applyProtection="false">
      <alignment horizontal="right" vertical="bottom" textRotation="0" wrapText="false" indent="0" shrinkToFit="false"/>
      <protection locked="true" hidden="false"/>
    </xf>
    <xf numFmtId="164" fontId="7" fillId="6" borderId="0" xfId="0" applyFont="tru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7" fillId="7" borderId="0" xfId="0" applyFont="tru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2" fillId="8" borderId="3" xfId="0" applyFont="true" applyBorder="true" applyAlignment="false" applyProtection="false">
      <alignment horizontal="general" vertical="bottom" textRotation="0" wrapText="false" indent="0" shrinkToFit="false"/>
      <protection locked="true" hidden="false"/>
    </xf>
    <xf numFmtId="164" fontId="12" fillId="8" borderId="4" xfId="0" applyFont="true" applyBorder="true" applyAlignment="true" applyProtection="false">
      <alignment horizontal="center" vertical="center" textRotation="0" wrapText="false" indent="0" shrinkToFit="false"/>
      <protection locked="true" hidden="false"/>
    </xf>
    <xf numFmtId="164" fontId="12" fillId="8" borderId="4" xfId="0" applyFont="true" applyBorder="true" applyAlignment="false" applyProtection="false">
      <alignment horizontal="general" vertical="bottom" textRotation="0" wrapText="false" indent="0" shrinkToFit="false"/>
      <protection locked="true" hidden="false"/>
    </xf>
    <xf numFmtId="164" fontId="12" fillId="8" borderId="5" xfId="0" applyFont="true" applyBorder="true" applyAlignment="false" applyProtection="false">
      <alignment horizontal="general" vertical="bottom" textRotation="0" wrapText="false" indent="0" shrinkToFit="false"/>
      <protection locked="true" hidden="false"/>
    </xf>
    <xf numFmtId="164" fontId="0" fillId="9" borderId="3" xfId="0" applyFont="false" applyBorder="true" applyAlignment="false" applyProtection="false">
      <alignment horizontal="general" vertical="bottom" textRotation="0" wrapText="false" indent="0" shrinkToFit="false"/>
      <protection locked="true" hidden="false"/>
    </xf>
    <xf numFmtId="164" fontId="0" fillId="9" borderId="4" xfId="0" applyFont="false" applyBorder="true" applyAlignment="true" applyProtection="false">
      <alignment horizontal="center" vertical="center" textRotation="0" wrapText="false" indent="0" shrinkToFit="false"/>
      <protection locked="true" hidden="false"/>
    </xf>
    <xf numFmtId="164" fontId="0" fillId="9" borderId="4" xfId="0" applyFont="false" applyBorder="true" applyAlignment="false" applyProtection="false">
      <alignment horizontal="general" vertical="bottom" textRotation="0" wrapText="false" indent="0" shrinkToFit="false"/>
      <protection locked="true" hidden="false"/>
    </xf>
    <xf numFmtId="164" fontId="0" fillId="9" borderId="5" xfId="0" applyFont="false" applyBorder="true" applyAlignment="false" applyProtection="false">
      <alignment horizontal="general" vertical="bottom" textRotation="0" wrapText="false" indent="0" shrinkToFit="false"/>
      <protection locked="true" hidden="false"/>
    </xf>
    <xf numFmtId="164" fontId="12" fillId="8" borderId="6" xfId="0" applyFont="true" applyBorder="true" applyAlignment="false" applyProtection="false">
      <alignment horizontal="general" vertical="bottom" textRotation="0" wrapText="false" indent="0" shrinkToFit="false"/>
      <protection locked="true" hidden="false"/>
    </xf>
    <xf numFmtId="164" fontId="13" fillId="8" borderId="0" xfId="0" applyFont="true" applyBorder="true" applyAlignment="false" applyProtection="false">
      <alignment horizontal="general" vertical="bottom" textRotation="0" wrapText="false" indent="0" shrinkToFit="false"/>
      <protection locked="true" hidden="false"/>
    </xf>
    <xf numFmtId="164" fontId="12" fillId="8" borderId="0" xfId="0" applyFont="true" applyBorder="true" applyAlignment="true" applyProtection="false">
      <alignment horizontal="center" vertical="center" textRotation="0" wrapText="false" indent="0" shrinkToFit="false"/>
      <protection locked="true" hidden="false"/>
    </xf>
    <xf numFmtId="164" fontId="12" fillId="8" borderId="0" xfId="0" applyFont="true" applyBorder="false" applyAlignment="false" applyProtection="false">
      <alignment horizontal="general" vertical="bottom" textRotation="0" wrapText="false" indent="0" shrinkToFit="false"/>
      <protection locked="true" hidden="false"/>
    </xf>
    <xf numFmtId="164" fontId="12" fillId="8" borderId="7" xfId="0" applyFont="true" applyBorder="true" applyAlignment="false" applyProtection="false">
      <alignment horizontal="general" vertical="bottom" textRotation="0" wrapText="false" indent="0" shrinkToFit="false"/>
      <protection locked="true" hidden="false"/>
    </xf>
    <xf numFmtId="164" fontId="0" fillId="9" borderId="6" xfId="0" applyFont="false" applyBorder="true" applyAlignment="false" applyProtection="false">
      <alignment horizontal="general" vertical="bottom" textRotation="0" wrapText="false" indent="0" shrinkToFit="false"/>
      <protection locked="true" hidden="false"/>
    </xf>
    <xf numFmtId="164" fontId="14" fillId="9" borderId="0" xfId="0" applyFont="true" applyBorder="true" applyAlignment="false" applyProtection="false">
      <alignment horizontal="general" vertical="bottom" textRotation="0" wrapText="false" indent="0" shrinkToFit="false"/>
      <protection locked="true" hidden="false"/>
    </xf>
    <xf numFmtId="164" fontId="0" fillId="9" borderId="0" xfId="0" applyFont="false" applyBorder="tru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9" borderId="7" xfId="0" applyFont="fals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false" applyProtection="false">
      <alignment horizontal="general" vertical="bottom" textRotation="0" wrapText="false" indent="0" shrinkToFit="false"/>
      <protection locked="true" hidden="false"/>
    </xf>
    <xf numFmtId="164" fontId="12" fillId="0" borderId="8" xfId="0" applyFont="true" applyBorder="true" applyAlignment="true" applyProtection="false">
      <alignment horizontal="center" vertical="center" textRotation="0" wrapText="false" indent="0" shrinkToFit="false"/>
      <protection locked="true" hidden="false"/>
    </xf>
    <xf numFmtId="164" fontId="11" fillId="0" borderId="8" xfId="0" applyFont="true" applyBorder="true" applyAlignment="false" applyProtection="false">
      <alignment horizontal="general" vertical="bottom" textRotation="0" wrapText="false" indent="0" shrinkToFit="false"/>
      <protection locked="true" hidden="false"/>
    </xf>
    <xf numFmtId="164" fontId="11" fillId="0" borderId="8" xfId="0" applyFont="true" applyBorder="true" applyAlignment="true" applyProtection="false">
      <alignment horizontal="center" vertical="center" textRotation="0" wrapText="false" indent="0" shrinkToFit="false"/>
      <protection locked="true" hidden="false"/>
    </xf>
    <xf numFmtId="164" fontId="0" fillId="10" borderId="8" xfId="0" applyFont="true" applyBorder="true" applyAlignment="true" applyProtection="false">
      <alignment horizontal="center" vertical="center" textRotation="0" wrapText="false" indent="0" shrinkToFit="false"/>
      <protection locked="true" hidden="false"/>
    </xf>
    <xf numFmtId="164" fontId="0" fillId="0" borderId="8" xfId="0" applyFont="true" applyBorder="true" applyAlignment="false" applyProtection="false">
      <alignment horizontal="general" vertical="bottom" textRotation="0" wrapText="false" indent="0" shrinkToFit="false"/>
      <protection locked="true" hidden="false"/>
    </xf>
    <xf numFmtId="164" fontId="0" fillId="10" borderId="8" xfId="0" applyFont="false" applyBorder="true" applyAlignment="false" applyProtection="false">
      <alignment horizontal="general" vertical="bottom" textRotation="0" wrapText="false" indent="0" shrinkToFit="false"/>
      <protection locked="true" hidden="false"/>
    </xf>
    <xf numFmtId="164" fontId="12" fillId="8" borderId="0" xfId="0" applyFont="true" applyBorder="true" applyAlignment="false" applyProtection="false">
      <alignment horizontal="general" vertical="bottom" textRotation="0" wrapText="false" indent="0" shrinkToFit="false"/>
      <protection locked="true" hidden="false"/>
    </xf>
    <xf numFmtId="166" fontId="0" fillId="0" borderId="8" xfId="0" applyFont="false" applyBorder="true" applyAlignment="false" applyProtection="false">
      <alignment horizontal="general" vertical="bottom" textRotation="0" wrapText="false" indent="0" shrinkToFit="false"/>
      <protection locked="true" hidden="false"/>
    </xf>
    <xf numFmtId="164" fontId="0" fillId="0" borderId="8" xfId="0" applyFont="true" applyBorder="true" applyAlignment="false" applyProtection="false">
      <alignment horizontal="general" vertical="bottom" textRotation="0" wrapText="false" indent="0" shrinkToFit="false"/>
      <protection locked="true" hidden="false"/>
    </xf>
    <xf numFmtId="164" fontId="12" fillId="8" borderId="9" xfId="0" applyFont="true" applyBorder="true" applyAlignment="false" applyProtection="false">
      <alignment horizontal="general" vertical="bottom" textRotation="0" wrapText="false" indent="0" shrinkToFit="false"/>
      <protection locked="true" hidden="false"/>
    </xf>
    <xf numFmtId="164" fontId="12" fillId="8" borderId="1" xfId="0" applyFont="true" applyBorder="true" applyAlignment="false" applyProtection="false">
      <alignment horizontal="general" vertical="bottom" textRotation="0" wrapText="false" indent="0" shrinkToFit="false"/>
      <protection locked="true" hidden="false"/>
    </xf>
    <xf numFmtId="164" fontId="12" fillId="8" borderId="10" xfId="0" applyFont="true" applyBorder="true" applyAlignment="false" applyProtection="false">
      <alignment horizontal="general" vertical="bottom" textRotation="0" wrapText="false" indent="0" shrinkToFit="false"/>
      <protection locked="true" hidden="false"/>
    </xf>
    <xf numFmtId="164" fontId="0" fillId="11" borderId="3" xfId="0" applyFont="false" applyBorder="true" applyAlignment="false" applyProtection="false">
      <alignment horizontal="general" vertical="bottom" textRotation="0" wrapText="false" indent="0" shrinkToFit="false"/>
      <protection locked="true" hidden="false"/>
    </xf>
    <xf numFmtId="164" fontId="0" fillId="11" borderId="4" xfId="0" applyFont="false" applyBorder="true" applyAlignment="true" applyProtection="false">
      <alignment horizontal="center" vertical="center" textRotation="0" wrapText="false" indent="0" shrinkToFit="false"/>
      <protection locked="true" hidden="false"/>
    </xf>
    <xf numFmtId="164" fontId="0" fillId="11" borderId="4" xfId="0" applyFont="false" applyBorder="true" applyAlignment="false" applyProtection="false">
      <alignment horizontal="general" vertical="bottom" textRotation="0" wrapText="false" indent="0" shrinkToFit="false"/>
      <protection locked="true" hidden="false"/>
    </xf>
    <xf numFmtId="164" fontId="0" fillId="11" borderId="5" xfId="0" applyFont="false" applyBorder="true" applyAlignment="false" applyProtection="false">
      <alignment horizontal="general" vertical="bottom" textRotation="0" wrapText="false" indent="0" shrinkToFit="false"/>
      <protection locked="true" hidden="false"/>
    </xf>
    <xf numFmtId="164" fontId="0" fillId="11" borderId="6" xfId="0" applyFont="false" applyBorder="true" applyAlignment="false" applyProtection="false">
      <alignment horizontal="general" vertical="bottom" textRotation="0" wrapText="false" indent="0" shrinkToFit="false"/>
      <protection locked="true" hidden="false"/>
    </xf>
    <xf numFmtId="164" fontId="14" fillId="11" borderId="0" xfId="0" applyFont="true" applyBorder="true" applyAlignment="false" applyProtection="false">
      <alignment horizontal="general" vertical="bottom" textRotation="0" wrapText="false" indent="0" shrinkToFit="false"/>
      <protection locked="true" hidden="false"/>
    </xf>
    <xf numFmtId="164" fontId="0" fillId="11" borderId="0" xfId="0" applyFont="false" applyBorder="tru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1" borderId="7" xfId="0" applyFont="false" applyBorder="true" applyAlignment="false" applyProtection="false">
      <alignment horizontal="general" vertical="bottom" textRotation="0" wrapText="false" indent="0" shrinkToFit="false"/>
      <protection locked="true" hidden="false"/>
    </xf>
    <xf numFmtId="167" fontId="0" fillId="0" borderId="8" xfId="0" applyFont="false" applyBorder="true" applyAlignment="false" applyProtection="false">
      <alignment horizontal="general" vertical="bottom" textRotation="0" wrapText="false" indent="0" shrinkToFit="false"/>
      <protection locked="true" hidden="false"/>
    </xf>
    <xf numFmtId="168" fontId="0" fillId="0" borderId="8" xfId="0" applyFont="false" applyBorder="true" applyAlignment="false" applyProtection="false">
      <alignment horizontal="general" vertical="bottom" textRotation="0" wrapText="false" indent="0" shrinkToFit="false"/>
      <protection locked="true" hidden="false"/>
    </xf>
    <xf numFmtId="164" fontId="0" fillId="9" borderId="9" xfId="0" applyFont="false" applyBorder="true" applyAlignment="false" applyProtection="false">
      <alignment horizontal="general" vertical="bottom" textRotation="0" wrapText="false" indent="0" shrinkToFit="false"/>
      <protection locked="true" hidden="false"/>
    </xf>
    <xf numFmtId="164" fontId="0" fillId="9" borderId="1" xfId="0" applyFont="false" applyBorder="true" applyAlignment="false" applyProtection="false">
      <alignment horizontal="general" vertical="bottom" textRotation="0" wrapText="false" indent="0" shrinkToFit="false"/>
      <protection locked="true" hidden="false"/>
    </xf>
    <xf numFmtId="164" fontId="0" fillId="9" borderId="10" xfId="0" applyFont="false" applyBorder="true" applyAlignment="false" applyProtection="false">
      <alignment horizontal="general" vertical="bottom" textRotation="0" wrapText="false" indent="0" shrinkToFit="false"/>
      <protection locked="true" hidden="false"/>
    </xf>
    <xf numFmtId="165" fontId="0" fillId="10" borderId="8" xfId="0" applyFont="false" applyBorder="true" applyAlignment="false" applyProtection="false">
      <alignment horizontal="general" vertical="bottom" textRotation="0" wrapText="false" indent="0" shrinkToFit="false"/>
      <protection locked="true" hidden="false"/>
    </xf>
    <xf numFmtId="169" fontId="0" fillId="0" borderId="8" xfId="0" applyFont="false" applyBorder="true" applyAlignment="false" applyProtection="false">
      <alignment horizontal="general" vertical="bottom" textRotation="0" wrapText="false" indent="0" shrinkToFit="false"/>
      <protection locked="true" hidden="false"/>
    </xf>
    <xf numFmtId="170" fontId="0" fillId="0" borderId="8" xfId="0" applyFont="false" applyBorder="true" applyAlignment="false" applyProtection="false">
      <alignment horizontal="general" vertical="bottom" textRotation="0" wrapText="false" indent="0" shrinkToFit="false"/>
      <protection locked="true" hidden="false"/>
    </xf>
    <xf numFmtId="164" fontId="0" fillId="11" borderId="9" xfId="0" applyFont="false" applyBorder="true" applyAlignment="false" applyProtection="false">
      <alignment horizontal="general" vertical="bottom" textRotation="0" wrapText="false" indent="0" shrinkToFit="false"/>
      <protection locked="true" hidden="false"/>
    </xf>
    <xf numFmtId="164" fontId="0" fillId="11" borderId="1" xfId="0" applyFont="false" applyBorder="true" applyAlignment="false" applyProtection="false">
      <alignment horizontal="general" vertical="bottom" textRotation="0" wrapText="false" indent="0" shrinkToFit="false"/>
      <protection locked="true" hidden="false"/>
    </xf>
    <xf numFmtId="164" fontId="0" fillId="11" borderId="10" xfId="0" applyFont="fals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BFBFBF"/>
      <rgbColor rgb="FF808080"/>
      <rgbColor rgb="FF9999FF"/>
      <rgbColor rgb="FF993366"/>
      <rgbColor rgb="FFFFFFCC"/>
      <rgbColor rgb="FFDDEBF7"/>
      <rgbColor rgb="FF660033"/>
      <rgbColor rgb="FFFF8080"/>
      <rgbColor rgb="FF0066CC"/>
      <rgbColor rgb="FFB4C7DC"/>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EFBDEB"/>
      <rgbColor rgb="FFCC99FF"/>
      <rgbColor rgb="FFFFDBB6"/>
      <rgbColor rgb="FF3366FF"/>
      <rgbColor rgb="FF33CCCC"/>
      <rgbColor rgb="FF99CC00"/>
      <rgbColor rgb="FFFFCC00"/>
      <rgbColor rgb="FFFF9900"/>
      <rgbColor rgb="FFFF6600"/>
      <rgbColor rgb="FF595959"/>
      <rgbColor rgb="FF76B27C"/>
      <rgbColor rgb="FF002060"/>
      <rgbColor rgb="FF339966"/>
      <rgbColor rgb="FF003300"/>
      <rgbColor rgb="FF333300"/>
      <rgbColor rgb="FF993300"/>
      <rgbColor rgb="FF993366"/>
      <rgbColor rgb="FF333399"/>
      <rgbColor rgb="FF38572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pitchFamily="0" charset="1"/>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comments" Target="../comments1.xml"/><Relationship Id="rId2" Type="http://schemas.openxmlformats.org/officeDocument/2006/relationships/vmlDrawing" Target="../drawings/vmlDrawing1.v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G124"/>
  <sheetViews>
    <sheetView showFormulas="false" showGridLines="true" showRowColHeaders="true" showZeros="true" rightToLeft="false" tabSelected="false" showOutlineSymbols="true" defaultGridColor="true" view="normal" topLeftCell="A1" colorId="64" zoomScale="140" zoomScaleNormal="140" zoomScalePageLayoutView="100" workbookViewId="0">
      <pane xSplit="0" ySplit="4" topLeftCell="A29" activePane="bottomLeft" state="frozen"/>
      <selection pane="topLeft" activeCell="A1" activeCellId="0" sqref="A1"/>
      <selection pane="bottomLeft" activeCell="B56" activeCellId="0" sqref="B56"/>
    </sheetView>
  </sheetViews>
  <sheetFormatPr defaultColWidth="8.6796875" defaultRowHeight="15" customHeight="false" zeroHeight="false" outlineLevelRow="0" outlineLevelCol="0"/>
  <cols>
    <col collapsed="false" customWidth="true" hidden="false" outlineLevel="0" max="1" min="1" style="0" width="30"/>
    <col collapsed="false" customWidth="true" hidden="false" outlineLevel="0" max="2" min="2" style="0" width="12"/>
    <col collapsed="false" customWidth="true" hidden="false" outlineLevel="0" max="3" min="3" style="0" width="8"/>
    <col collapsed="false" customWidth="true" hidden="false" outlineLevel="0" max="4" min="4" style="0" width="22"/>
    <col collapsed="false" customWidth="true" hidden="false" outlineLevel="0" max="5" min="5" style="0" width="12"/>
    <col collapsed="false" customWidth="true" hidden="false" outlineLevel="0" max="6" min="6" style="0" width="46"/>
  </cols>
  <sheetData>
    <row r="1" customFormat="false" ht="17.35" hidden="false" customHeight="false" outlineLevel="0" collapsed="false">
      <c r="A1" s="1" t="s">
        <v>0</v>
      </c>
    </row>
    <row r="2" customFormat="false" ht="15" hidden="false" customHeight="false" outlineLevel="0" collapsed="false">
      <c r="A2" s="2" t="s">
        <v>1</v>
      </c>
    </row>
    <row r="4" customFormat="false" ht="15" hidden="false" customHeight="false" outlineLevel="0" collapsed="false">
      <c r="A4" s="3" t="s">
        <v>2</v>
      </c>
      <c r="B4" s="3" t="s">
        <v>3</v>
      </c>
      <c r="C4" s="3" t="s">
        <v>4</v>
      </c>
      <c r="D4" s="3" t="s">
        <v>5</v>
      </c>
      <c r="E4" s="3" t="s">
        <v>6</v>
      </c>
      <c r="F4" s="3" t="s">
        <v>7</v>
      </c>
    </row>
    <row r="6" customFormat="false" ht="15" hidden="false" customHeight="false" outlineLevel="0" collapsed="false">
      <c r="A6" s="4" t="s">
        <v>8</v>
      </c>
      <c r="B6" s="5"/>
      <c r="C6" s="5"/>
      <c r="D6" s="5"/>
      <c r="E6" s="5"/>
      <c r="F6" s="5"/>
    </row>
    <row r="7" customFormat="false" ht="15" hidden="false" customHeight="false" outlineLevel="0" collapsed="false">
      <c r="A7" s="0" t="s">
        <v>9</v>
      </c>
      <c r="B7" s="6" t="n">
        <v>0.01</v>
      </c>
      <c r="C7" s="7" t="s">
        <v>10</v>
      </c>
      <c r="D7" s="8"/>
      <c r="E7" s="8" t="s">
        <v>11</v>
      </c>
      <c r="F7" s="8" t="s">
        <v>12</v>
      </c>
      <c r="G7" s="0" t="s">
        <v>13</v>
      </c>
    </row>
    <row r="9" customFormat="false" ht="15" hidden="false" customHeight="false" outlineLevel="0" collapsed="false">
      <c r="A9" s="4" t="s">
        <v>14</v>
      </c>
      <c r="B9" s="5"/>
      <c r="C9" s="5"/>
      <c r="D9" s="5"/>
      <c r="E9" s="5"/>
      <c r="F9" s="5"/>
      <c r="G9" s="0" t="s">
        <v>13</v>
      </c>
    </row>
    <row r="10" customFormat="false" ht="15" hidden="false" customHeight="false" outlineLevel="0" collapsed="false">
      <c r="A10" s="0" t="s">
        <v>15</v>
      </c>
      <c r="B10" s="6" t="n">
        <v>2000</v>
      </c>
      <c r="C10" s="7" t="s">
        <v>16</v>
      </c>
      <c r="D10" s="8"/>
      <c r="E10" s="8" t="s">
        <v>17</v>
      </c>
      <c r="F10" s="8" t="s">
        <v>18</v>
      </c>
    </row>
    <row r="12" customFormat="false" ht="15" hidden="false" customHeight="false" outlineLevel="0" collapsed="false">
      <c r="A12" s="9" t="s">
        <v>19</v>
      </c>
      <c r="B12" s="10"/>
      <c r="C12" s="10"/>
      <c r="D12" s="10"/>
      <c r="E12" s="10"/>
      <c r="F12" s="10"/>
    </row>
    <row r="13" customFormat="false" ht="15" hidden="false" customHeight="false" outlineLevel="0" collapsed="false">
      <c r="A13" s="0" t="s">
        <v>20</v>
      </c>
      <c r="B13" s="6" t="n">
        <v>4</v>
      </c>
      <c r="C13" s="7" t="s">
        <v>21</v>
      </c>
      <c r="D13" s="8"/>
      <c r="E13" s="8" t="s">
        <v>22</v>
      </c>
      <c r="F13" s="8" t="s">
        <v>23</v>
      </c>
      <c r="G13" s="0" t="s">
        <v>13</v>
      </c>
    </row>
    <row r="14" customFormat="false" ht="15" hidden="false" customHeight="false" outlineLevel="0" collapsed="false">
      <c r="A14" s="0" t="s">
        <v>24</v>
      </c>
      <c r="B14" s="6" t="n">
        <v>0.125</v>
      </c>
      <c r="C14" s="7" t="s">
        <v>21</v>
      </c>
      <c r="D14" s="8"/>
      <c r="E14" s="8" t="s">
        <v>25</v>
      </c>
      <c r="F14" s="8" t="s">
        <v>26</v>
      </c>
      <c r="G14" s="0" t="s">
        <v>13</v>
      </c>
    </row>
    <row r="15" customFormat="false" ht="15" hidden="false" customHeight="false" outlineLevel="0" collapsed="false">
      <c r="A15" s="0" t="s">
        <v>27</v>
      </c>
      <c r="B15" s="6" t="n">
        <v>24</v>
      </c>
      <c r="C15" s="7" t="s">
        <v>21</v>
      </c>
      <c r="D15" s="8"/>
      <c r="E15" s="8" t="s">
        <v>28</v>
      </c>
      <c r="F15" s="8" t="s">
        <v>29</v>
      </c>
      <c r="G15" s="0" t="s">
        <v>13</v>
      </c>
    </row>
    <row r="16" customFormat="false" ht="15" hidden="false" customHeight="false" outlineLevel="0" collapsed="false">
      <c r="A16" s="0" t="s">
        <v>30</v>
      </c>
      <c r="B16" s="6" t="n">
        <v>50</v>
      </c>
      <c r="C16" s="7" t="s">
        <v>31</v>
      </c>
      <c r="D16" s="8"/>
      <c r="E16" s="8" t="s">
        <v>32</v>
      </c>
      <c r="F16" s="8" t="s">
        <v>33</v>
      </c>
      <c r="G16" s="0" t="s">
        <v>13</v>
      </c>
    </row>
    <row r="17" customFormat="false" ht="15" hidden="false" customHeight="false" outlineLevel="0" collapsed="false">
      <c r="A17" s="0" t="s">
        <v>34</v>
      </c>
      <c r="B17" s="6" t="n">
        <v>0</v>
      </c>
      <c r="C17" s="7" t="s">
        <v>21</v>
      </c>
      <c r="D17" s="8" t="s">
        <v>35</v>
      </c>
      <c r="E17" s="8" t="s">
        <v>36</v>
      </c>
      <c r="F17" s="8" t="s">
        <v>37</v>
      </c>
      <c r="G17" s="0" t="s">
        <v>13</v>
      </c>
    </row>
    <row r="19" customFormat="false" ht="15" hidden="false" customHeight="false" outlineLevel="0" collapsed="false">
      <c r="A19" s="9" t="s">
        <v>38</v>
      </c>
      <c r="B19" s="10"/>
      <c r="C19" s="10"/>
      <c r="D19" s="10"/>
      <c r="E19" s="10"/>
      <c r="F19" s="10"/>
    </row>
    <row r="20" customFormat="false" ht="15" hidden="false" customHeight="false" outlineLevel="0" collapsed="false">
      <c r="A20" s="0" t="s">
        <v>39</v>
      </c>
      <c r="B20" s="6" t="n">
        <v>0.7</v>
      </c>
      <c r="C20" s="7" t="s">
        <v>40</v>
      </c>
      <c r="D20" s="8"/>
      <c r="E20" s="8" t="s">
        <v>41</v>
      </c>
      <c r="F20" s="8" t="s">
        <v>42</v>
      </c>
      <c r="G20" s="0" t="s">
        <v>13</v>
      </c>
    </row>
    <row r="21" customFormat="false" ht="15" hidden="false" customHeight="false" outlineLevel="0" collapsed="false">
      <c r="A21" s="0" t="s">
        <v>43</v>
      </c>
      <c r="B21" s="6" t="n">
        <v>0.25</v>
      </c>
      <c r="C21" s="7" t="s">
        <v>44</v>
      </c>
      <c r="D21" s="8"/>
      <c r="E21" s="8" t="s">
        <v>45</v>
      </c>
      <c r="F21" s="8" t="s">
        <v>46</v>
      </c>
      <c r="G21" s="0" t="s">
        <v>13</v>
      </c>
    </row>
    <row r="23" customFormat="false" ht="15" hidden="false" customHeight="false" outlineLevel="0" collapsed="false">
      <c r="A23" s="9" t="s">
        <v>47</v>
      </c>
      <c r="B23" s="10"/>
      <c r="C23" s="10"/>
      <c r="D23" s="10"/>
      <c r="E23" s="10"/>
      <c r="F23" s="10"/>
    </row>
    <row r="24" customFormat="false" ht="15" hidden="false" customHeight="false" outlineLevel="0" collapsed="false">
      <c r="A24" s="0" t="s">
        <v>48</v>
      </c>
      <c r="B24" s="6" t="n">
        <v>0.3125</v>
      </c>
      <c r="C24" s="7" t="s">
        <v>21</v>
      </c>
      <c r="D24" s="8"/>
      <c r="E24" s="8" t="s">
        <v>49</v>
      </c>
      <c r="F24" s="8" t="s">
        <v>50</v>
      </c>
      <c r="G24" s="0" t="s">
        <v>13</v>
      </c>
    </row>
    <row r="25" customFormat="false" ht="15" hidden="false" customHeight="false" outlineLevel="0" collapsed="false">
      <c r="A25" s="0" t="s">
        <v>51</v>
      </c>
      <c r="B25" s="6" t="n">
        <v>12</v>
      </c>
      <c r="C25" s="7" t="s">
        <v>21</v>
      </c>
      <c r="D25" s="8"/>
      <c r="E25" s="8" t="s">
        <v>52</v>
      </c>
      <c r="F25" s="8" t="s">
        <v>53</v>
      </c>
      <c r="G25" s="0" t="s">
        <v>13</v>
      </c>
    </row>
    <row r="26" customFormat="false" ht="15" hidden="false" customHeight="false" outlineLevel="0" collapsed="false">
      <c r="A26" s="0" t="s">
        <v>54</v>
      </c>
      <c r="B26" s="11" t="n">
        <v>3.94E-006</v>
      </c>
      <c r="C26" s="7" t="s">
        <v>21</v>
      </c>
      <c r="D26" s="8"/>
      <c r="E26" s="8" t="s">
        <v>55</v>
      </c>
      <c r="F26" s="8" t="s">
        <v>56</v>
      </c>
      <c r="G26" s="0" t="s">
        <v>13</v>
      </c>
    </row>
    <row r="27" customFormat="false" ht="15" hidden="false" customHeight="false" outlineLevel="0" collapsed="false">
      <c r="A27" s="0" t="s">
        <v>57</v>
      </c>
      <c r="B27" s="6" t="n">
        <v>1.6</v>
      </c>
      <c r="C27" s="7" t="s">
        <v>40</v>
      </c>
      <c r="D27" s="8"/>
      <c r="E27" s="8" t="s">
        <v>58</v>
      </c>
      <c r="F27" s="8" t="s">
        <v>59</v>
      </c>
      <c r="G27" s="0" t="s">
        <v>13</v>
      </c>
    </row>
    <row r="28" customFormat="false" ht="15" hidden="false" customHeight="false" outlineLevel="0" collapsed="false">
      <c r="A28" s="0" t="s">
        <v>60</v>
      </c>
      <c r="B28" s="6" t="n">
        <v>0</v>
      </c>
      <c r="C28" s="7" t="s">
        <v>61</v>
      </c>
      <c r="D28" s="8"/>
      <c r="E28" s="8" t="s">
        <v>62</v>
      </c>
      <c r="F28" s="8" t="s">
        <v>63</v>
      </c>
      <c r="G28" s="0" t="s">
        <v>13</v>
      </c>
    </row>
    <row r="30" customFormat="false" ht="15" hidden="false" customHeight="false" outlineLevel="0" collapsed="false">
      <c r="A30" s="9" t="s">
        <v>64</v>
      </c>
      <c r="B30" s="10"/>
      <c r="C30" s="10"/>
      <c r="D30" s="10"/>
      <c r="E30" s="10"/>
      <c r="F30" s="10"/>
    </row>
    <row r="31" customFormat="false" ht="15" hidden="false" customHeight="false" outlineLevel="0" collapsed="false">
      <c r="A31" s="0" t="s">
        <v>65</v>
      </c>
      <c r="B31" s="6" t="n">
        <v>0</v>
      </c>
      <c r="C31" s="7" t="s">
        <v>66</v>
      </c>
      <c r="D31" s="8"/>
      <c r="E31" s="8" t="s">
        <v>67</v>
      </c>
      <c r="F31" s="8" t="s">
        <v>68</v>
      </c>
    </row>
    <row r="32" customFormat="false" ht="15" hidden="false" customHeight="false" outlineLevel="0" collapsed="false">
      <c r="A32" s="0" t="s">
        <v>69</v>
      </c>
      <c r="B32" s="6" t="n">
        <v>0.089</v>
      </c>
      <c r="C32" s="7" t="s">
        <v>21</v>
      </c>
      <c r="D32" s="8"/>
      <c r="E32" s="8" t="s">
        <v>70</v>
      </c>
      <c r="F32" s="8" t="s">
        <v>71</v>
      </c>
    </row>
    <row r="33" customFormat="false" ht="15" hidden="false" customHeight="false" outlineLevel="0" collapsed="false">
      <c r="A33" s="0" t="s">
        <v>72</v>
      </c>
      <c r="B33" s="6" t="n">
        <v>6</v>
      </c>
      <c r="C33" s="7" t="s">
        <v>40</v>
      </c>
      <c r="D33" s="8"/>
      <c r="E33" s="8" t="s">
        <v>73</v>
      </c>
      <c r="F33" s="8" t="s">
        <v>74</v>
      </c>
    </row>
    <row r="34" customFormat="false" ht="15" hidden="false" customHeight="false" outlineLevel="0" collapsed="false">
      <c r="A34" s="0" t="s">
        <v>75</v>
      </c>
      <c r="B34" s="6" t="n">
        <v>0.4</v>
      </c>
      <c r="C34" s="7" t="s">
        <v>40</v>
      </c>
      <c r="D34" s="8"/>
      <c r="E34" s="8" t="s">
        <v>76</v>
      </c>
      <c r="F34" s="8" t="s">
        <v>77</v>
      </c>
    </row>
    <row r="35" customFormat="false" ht="15" hidden="false" customHeight="false" outlineLevel="0" collapsed="false">
      <c r="A35" s="12" t="s">
        <v>78</v>
      </c>
      <c r="B35" s="6" t="n">
        <v>0</v>
      </c>
      <c r="C35" s="7" t="s">
        <v>21</v>
      </c>
      <c r="D35" s="8" t="s">
        <v>79</v>
      </c>
      <c r="E35" s="8" t="s">
        <v>80</v>
      </c>
      <c r="F35" s="8" t="s">
        <v>81</v>
      </c>
    </row>
    <row r="36" customFormat="false" ht="15" hidden="false" customHeight="false" outlineLevel="0" collapsed="false">
      <c r="A36" s="12" t="s">
        <v>82</v>
      </c>
      <c r="B36" s="6" t="n">
        <v>0</v>
      </c>
      <c r="C36" s="7" t="s">
        <v>40</v>
      </c>
      <c r="D36" s="8" t="s">
        <v>79</v>
      </c>
      <c r="E36" s="8" t="s">
        <v>83</v>
      </c>
      <c r="F36" s="8" t="s">
        <v>84</v>
      </c>
    </row>
    <row r="37" customFormat="false" ht="15" hidden="false" customHeight="false" outlineLevel="0" collapsed="false">
      <c r="A37" s="12" t="s">
        <v>85</v>
      </c>
      <c r="B37" s="6" t="n">
        <v>0.45</v>
      </c>
      <c r="C37" s="7" t="s">
        <v>40</v>
      </c>
      <c r="D37" s="8" t="s">
        <v>79</v>
      </c>
      <c r="E37" s="8" t="s">
        <v>86</v>
      </c>
      <c r="F37" s="8" t="s">
        <v>87</v>
      </c>
    </row>
    <row r="38" customFormat="false" ht="15" hidden="false" customHeight="false" outlineLevel="0" collapsed="false">
      <c r="A38" s="12" t="s">
        <v>88</v>
      </c>
      <c r="B38" s="6" t="n">
        <v>0</v>
      </c>
      <c r="C38" s="7" t="s">
        <v>21</v>
      </c>
      <c r="D38" s="8" t="s">
        <v>79</v>
      </c>
      <c r="E38" s="8" t="s">
        <v>89</v>
      </c>
      <c r="F38" s="8" t="s">
        <v>90</v>
      </c>
    </row>
    <row r="39" customFormat="false" ht="15" hidden="false" customHeight="false" outlineLevel="0" collapsed="false">
      <c r="A39" s="12" t="s">
        <v>91</v>
      </c>
      <c r="B39" s="6" t="n">
        <v>0</v>
      </c>
      <c r="C39" s="7" t="s">
        <v>40</v>
      </c>
      <c r="D39" s="8" t="s">
        <v>79</v>
      </c>
      <c r="E39" s="8" t="s">
        <v>92</v>
      </c>
      <c r="F39" s="8" t="s">
        <v>93</v>
      </c>
    </row>
    <row r="40" customFormat="false" ht="15" hidden="false" customHeight="false" outlineLevel="0" collapsed="false">
      <c r="A40" s="12" t="s">
        <v>94</v>
      </c>
      <c r="B40" s="6" t="n">
        <v>0.45</v>
      </c>
      <c r="C40" s="7" t="s">
        <v>40</v>
      </c>
      <c r="D40" s="8" t="s">
        <v>79</v>
      </c>
      <c r="E40" s="8" t="s">
        <v>95</v>
      </c>
      <c r="F40" s="8" t="s">
        <v>96</v>
      </c>
    </row>
    <row r="41" customFormat="false" ht="15" hidden="false" customHeight="false" outlineLevel="0" collapsed="false">
      <c r="A41" s="12" t="s">
        <v>97</v>
      </c>
      <c r="B41" s="6" t="n">
        <v>0.08</v>
      </c>
      <c r="C41" s="7" t="s">
        <v>21</v>
      </c>
      <c r="D41" s="8" t="s">
        <v>79</v>
      </c>
      <c r="E41" s="8" t="s">
        <v>98</v>
      </c>
      <c r="F41" s="8" t="s">
        <v>99</v>
      </c>
    </row>
    <row r="42" customFormat="false" ht="15" hidden="false" customHeight="false" outlineLevel="0" collapsed="false">
      <c r="A42" s="12" t="s">
        <v>100</v>
      </c>
      <c r="B42" s="6" t="n">
        <v>0.075</v>
      </c>
      <c r="C42" s="7" t="s">
        <v>21</v>
      </c>
      <c r="D42" s="8" t="s">
        <v>79</v>
      </c>
      <c r="E42" s="8" t="s">
        <v>101</v>
      </c>
      <c r="F42" s="8" t="s">
        <v>102</v>
      </c>
    </row>
    <row r="43" customFormat="false" ht="15" hidden="false" customHeight="false" outlineLevel="0" collapsed="false">
      <c r="A43" s="12" t="s">
        <v>103</v>
      </c>
      <c r="B43" s="6" t="n">
        <v>0</v>
      </c>
      <c r="C43" s="7" t="s">
        <v>40</v>
      </c>
      <c r="D43" s="8" t="s">
        <v>79</v>
      </c>
      <c r="E43" s="8" t="s">
        <v>104</v>
      </c>
      <c r="F43" s="8" t="s">
        <v>105</v>
      </c>
    </row>
    <row r="44" customFormat="false" ht="15" hidden="false" customHeight="false" outlineLevel="0" collapsed="false">
      <c r="A44" s="12" t="s">
        <v>106</v>
      </c>
      <c r="B44" s="6" t="n">
        <v>0.45</v>
      </c>
      <c r="C44" s="7" t="s">
        <v>40</v>
      </c>
      <c r="D44" s="8" t="s">
        <v>79</v>
      </c>
      <c r="E44" s="8" t="s">
        <v>107</v>
      </c>
      <c r="F44" s="8" t="s">
        <v>108</v>
      </c>
    </row>
    <row r="45" customFormat="false" ht="15" hidden="false" customHeight="false" outlineLevel="0" collapsed="false">
      <c r="A45" s="12" t="s">
        <v>109</v>
      </c>
      <c r="B45" s="6" t="n">
        <v>0.01</v>
      </c>
      <c r="C45" s="7" t="s">
        <v>21</v>
      </c>
      <c r="D45" s="8" t="s">
        <v>79</v>
      </c>
      <c r="E45" s="8" t="s">
        <v>110</v>
      </c>
      <c r="F45" s="8" t="s">
        <v>111</v>
      </c>
    </row>
    <row r="46" customFormat="false" ht="15" hidden="false" customHeight="false" outlineLevel="0" collapsed="false">
      <c r="A46" s="12" t="s">
        <v>112</v>
      </c>
      <c r="B46" s="6" t="n">
        <v>0.15</v>
      </c>
      <c r="C46" s="7" t="s">
        <v>21</v>
      </c>
      <c r="D46" s="8" t="s">
        <v>79</v>
      </c>
      <c r="E46" s="8" t="s">
        <v>113</v>
      </c>
      <c r="F46" s="8" t="s">
        <v>114</v>
      </c>
    </row>
    <row r="47" customFormat="false" ht="15" hidden="false" customHeight="false" outlineLevel="0" collapsed="false">
      <c r="A47" s="12" t="s">
        <v>115</v>
      </c>
      <c r="B47" s="6" t="n">
        <v>0</v>
      </c>
      <c r="C47" s="7" t="s">
        <v>40</v>
      </c>
      <c r="D47" s="8" t="s">
        <v>79</v>
      </c>
      <c r="E47" s="8" t="s">
        <v>116</v>
      </c>
      <c r="F47" s="8" t="s">
        <v>117</v>
      </c>
    </row>
    <row r="48" customFormat="false" ht="15" hidden="false" customHeight="false" outlineLevel="0" collapsed="false">
      <c r="A48" s="12" t="s">
        <v>118</v>
      </c>
      <c r="B48" s="6" t="n">
        <v>0.45</v>
      </c>
      <c r="C48" s="7" t="s">
        <v>40</v>
      </c>
      <c r="D48" s="8" t="s">
        <v>79</v>
      </c>
      <c r="E48" s="8" t="s">
        <v>119</v>
      </c>
      <c r="F48" s="8" t="s">
        <v>120</v>
      </c>
    </row>
    <row r="49" customFormat="false" ht="15" hidden="false" customHeight="false" outlineLevel="0" collapsed="false">
      <c r="A49" s="12" t="s">
        <v>121</v>
      </c>
      <c r="B49" s="6" t="n">
        <v>0.006</v>
      </c>
      <c r="C49" s="7" t="s">
        <v>21</v>
      </c>
      <c r="D49" s="8" t="s">
        <v>79</v>
      </c>
      <c r="E49" s="8" t="s">
        <v>122</v>
      </c>
      <c r="F49" s="8" t="s">
        <v>123</v>
      </c>
    </row>
    <row r="50" customFormat="false" ht="15" hidden="false" customHeight="false" outlineLevel="0" collapsed="false">
      <c r="A50" s="12" t="s">
        <v>124</v>
      </c>
      <c r="B50" s="6" t="n">
        <v>0.05</v>
      </c>
      <c r="C50" s="7" t="s">
        <v>21</v>
      </c>
      <c r="D50" s="8" t="s">
        <v>79</v>
      </c>
      <c r="E50" s="8" t="s">
        <v>125</v>
      </c>
      <c r="F50" s="8" t="s">
        <v>126</v>
      </c>
    </row>
    <row r="51" customFormat="false" ht="15" hidden="false" customHeight="false" outlineLevel="0" collapsed="false">
      <c r="A51" s="12" t="s">
        <v>127</v>
      </c>
      <c r="B51" s="6" t="n">
        <v>0</v>
      </c>
      <c r="C51" s="7" t="s">
        <v>40</v>
      </c>
      <c r="D51" s="8" t="s">
        <v>79</v>
      </c>
      <c r="E51" s="8" t="s">
        <v>128</v>
      </c>
      <c r="F51" s="8" t="s">
        <v>129</v>
      </c>
    </row>
    <row r="52" customFormat="false" ht="15" hidden="false" customHeight="false" outlineLevel="0" collapsed="false">
      <c r="A52" s="12" t="s">
        <v>130</v>
      </c>
      <c r="B52" s="6" t="n">
        <v>0.45</v>
      </c>
      <c r="C52" s="7" t="s">
        <v>40</v>
      </c>
      <c r="D52" s="8" t="s">
        <v>79</v>
      </c>
      <c r="E52" s="8" t="s">
        <v>131</v>
      </c>
      <c r="F52" s="8" t="s">
        <v>132</v>
      </c>
    </row>
    <row r="53" customFormat="false" ht="15" hidden="false" customHeight="false" outlineLevel="0" collapsed="false">
      <c r="A53" s="12" t="s">
        <v>133</v>
      </c>
      <c r="B53" s="6" t="n">
        <v>0.5</v>
      </c>
      <c r="C53" s="7" t="s">
        <v>21</v>
      </c>
      <c r="D53" s="8" t="s">
        <v>134</v>
      </c>
      <c r="E53" s="8" t="s">
        <v>135</v>
      </c>
      <c r="F53" s="8" t="s">
        <v>136</v>
      </c>
    </row>
    <row r="55" customFormat="false" ht="15" hidden="false" customHeight="false" outlineLevel="0" collapsed="false">
      <c r="A55" s="13" t="s">
        <v>137</v>
      </c>
      <c r="B55" s="14"/>
      <c r="C55" s="14"/>
      <c r="D55" s="14"/>
      <c r="E55" s="14"/>
      <c r="F55" s="14"/>
    </row>
    <row r="56" customFormat="false" ht="15" hidden="false" customHeight="false" outlineLevel="0" collapsed="false">
      <c r="A56" s="0" t="s">
        <v>138</v>
      </c>
      <c r="B56" s="15" t="s">
        <v>139</v>
      </c>
      <c r="C56" s="7"/>
      <c r="D56" s="8"/>
      <c r="E56" s="8" t="s">
        <v>140</v>
      </c>
      <c r="F56" s="8" t="s">
        <v>141</v>
      </c>
    </row>
    <row r="57" customFormat="false" ht="15" hidden="false" customHeight="false" outlineLevel="0" collapsed="false">
      <c r="A57" s="0" t="s">
        <v>142</v>
      </c>
      <c r="B57" s="15" t="s">
        <v>143</v>
      </c>
      <c r="C57" s="7"/>
      <c r="D57" s="8"/>
      <c r="E57" s="8" t="s">
        <v>144</v>
      </c>
      <c r="F57" s="8" t="s">
        <v>145</v>
      </c>
    </row>
    <row r="58" customFormat="false" ht="15" hidden="false" customHeight="false" outlineLevel="0" collapsed="false">
      <c r="A58" s="0" t="s">
        <v>146</v>
      </c>
      <c r="B58" s="6" t="n">
        <v>0</v>
      </c>
      <c r="C58" s="7" t="s">
        <v>147</v>
      </c>
      <c r="D58" s="8"/>
      <c r="E58" s="8" t="s">
        <v>148</v>
      </c>
      <c r="F58" s="8" t="s">
        <v>149</v>
      </c>
    </row>
    <row r="60" customFormat="false" ht="15" hidden="false" customHeight="false" outlineLevel="0" collapsed="false">
      <c r="A60" s="13" t="s">
        <v>150</v>
      </c>
      <c r="B60" s="14"/>
      <c r="C60" s="14"/>
      <c r="D60" s="14"/>
      <c r="E60" s="14"/>
      <c r="F60" s="14"/>
    </row>
    <row r="61" customFormat="false" ht="15" hidden="false" customHeight="false" outlineLevel="0" collapsed="false">
      <c r="A61" s="0" t="s">
        <v>20</v>
      </c>
      <c r="B61" s="6" t="n">
        <v>4</v>
      </c>
      <c r="C61" s="7" t="s">
        <v>21</v>
      </c>
      <c r="D61" s="8"/>
      <c r="E61" s="8" t="s">
        <v>151</v>
      </c>
      <c r="F61" s="8" t="s">
        <v>152</v>
      </c>
      <c r="G61" s="0" t="s">
        <v>13</v>
      </c>
    </row>
    <row r="62" customFormat="false" ht="15" hidden="false" customHeight="false" outlineLevel="0" collapsed="false">
      <c r="A62" s="0" t="s">
        <v>24</v>
      </c>
      <c r="B62" s="6" t="n">
        <v>0.125</v>
      </c>
      <c r="C62" s="7" t="s">
        <v>21</v>
      </c>
      <c r="D62" s="8"/>
      <c r="E62" s="8" t="s">
        <v>153</v>
      </c>
      <c r="F62" s="8" t="s">
        <v>154</v>
      </c>
      <c r="G62" s="0" t="s">
        <v>13</v>
      </c>
    </row>
    <row r="63" customFormat="false" ht="15" hidden="false" customHeight="false" outlineLevel="0" collapsed="false">
      <c r="A63" s="0" t="s">
        <v>27</v>
      </c>
      <c r="B63" s="6" t="n">
        <v>9</v>
      </c>
      <c r="C63" s="7" t="s">
        <v>21</v>
      </c>
      <c r="D63" s="8"/>
      <c r="E63" s="8" t="s">
        <v>155</v>
      </c>
      <c r="F63" s="8" t="s">
        <v>156</v>
      </c>
      <c r="G63" s="0" t="s">
        <v>13</v>
      </c>
    </row>
    <row r="64" customFormat="false" ht="15" hidden="false" customHeight="false" outlineLevel="0" collapsed="false">
      <c r="A64" s="0" t="s">
        <v>157</v>
      </c>
      <c r="B64" s="6" t="n">
        <v>12</v>
      </c>
      <c r="C64" s="7" t="s">
        <v>21</v>
      </c>
      <c r="D64" s="8" t="s">
        <v>35</v>
      </c>
      <c r="E64" s="8" t="s">
        <v>158</v>
      </c>
      <c r="F64" s="8" t="s">
        <v>159</v>
      </c>
      <c r="G64" s="0" t="s">
        <v>13</v>
      </c>
    </row>
    <row r="65" customFormat="false" ht="15" hidden="false" customHeight="false" outlineLevel="0" collapsed="false">
      <c r="A65" s="0" t="s">
        <v>160</v>
      </c>
      <c r="B65" s="6" t="n">
        <v>15</v>
      </c>
      <c r="C65" s="7" t="s">
        <v>61</v>
      </c>
      <c r="D65" s="8"/>
      <c r="E65" s="8" t="s">
        <v>161</v>
      </c>
      <c r="F65" s="8" t="s">
        <v>162</v>
      </c>
      <c r="G65" s="0" t="s">
        <v>13</v>
      </c>
    </row>
    <row r="67" customFormat="false" ht="15" hidden="false" customHeight="false" outlineLevel="0" collapsed="false">
      <c r="A67" s="13" t="s">
        <v>163</v>
      </c>
      <c r="B67" s="14"/>
      <c r="C67" s="14"/>
      <c r="D67" s="14"/>
      <c r="E67" s="14"/>
      <c r="F67" s="14"/>
    </row>
    <row r="68" customFormat="false" ht="15" hidden="false" customHeight="false" outlineLevel="0" collapsed="false">
      <c r="A68" s="0" t="s">
        <v>48</v>
      </c>
      <c r="B68" s="6" t="n">
        <v>0.225</v>
      </c>
      <c r="C68" s="7" t="s">
        <v>21</v>
      </c>
      <c r="D68" s="8"/>
      <c r="E68" s="8" t="s">
        <v>164</v>
      </c>
      <c r="F68" s="8" t="s">
        <v>165</v>
      </c>
      <c r="G68" s="0" t="s">
        <v>13</v>
      </c>
    </row>
    <row r="69" customFormat="false" ht="15" hidden="false" customHeight="false" outlineLevel="0" collapsed="false">
      <c r="A69" s="0" t="s">
        <v>51</v>
      </c>
      <c r="B69" s="6" t="n">
        <v>48</v>
      </c>
      <c r="C69" s="7" t="s">
        <v>21</v>
      </c>
      <c r="D69" s="8"/>
      <c r="E69" s="8" t="s">
        <v>166</v>
      </c>
      <c r="F69" s="8" t="s">
        <v>167</v>
      </c>
      <c r="G69" s="0" t="s">
        <v>13</v>
      </c>
    </row>
    <row r="70" customFormat="false" ht="15" hidden="false" customHeight="false" outlineLevel="0" collapsed="false">
      <c r="A70" s="0" t="s">
        <v>54</v>
      </c>
      <c r="B70" s="11" t="n">
        <v>3.94E-006</v>
      </c>
      <c r="C70" s="7" t="s">
        <v>21</v>
      </c>
      <c r="D70" s="8"/>
      <c r="E70" s="8" t="s">
        <v>168</v>
      </c>
      <c r="F70" s="8" t="s">
        <v>169</v>
      </c>
      <c r="G70" s="0" t="s">
        <v>13</v>
      </c>
    </row>
    <row r="71" customFormat="false" ht="15" hidden="false" customHeight="false" outlineLevel="0" collapsed="false">
      <c r="A71" s="0" t="s">
        <v>57</v>
      </c>
      <c r="B71" s="6" t="n">
        <v>1.6</v>
      </c>
      <c r="C71" s="7" t="s">
        <v>40</v>
      </c>
      <c r="D71" s="8"/>
      <c r="E71" s="8" t="s">
        <v>170</v>
      </c>
      <c r="F71" s="8" t="s">
        <v>171</v>
      </c>
      <c r="G71" s="0" t="s">
        <v>13</v>
      </c>
    </row>
    <row r="72" customFormat="false" ht="15" hidden="false" customHeight="false" outlineLevel="0" collapsed="false">
      <c r="A72" s="0" t="s">
        <v>60</v>
      </c>
      <c r="B72" s="6" t="n">
        <v>0</v>
      </c>
      <c r="C72" s="7" t="s">
        <v>61</v>
      </c>
      <c r="D72" s="8"/>
      <c r="E72" s="8" t="s">
        <v>172</v>
      </c>
      <c r="F72" s="8" t="s">
        <v>173</v>
      </c>
      <c r="G72" s="0" t="s">
        <v>13</v>
      </c>
    </row>
    <row r="73" customFormat="false" ht="15" hidden="false" customHeight="false" outlineLevel="0" collapsed="false">
      <c r="A73" s="0" t="s">
        <v>174</v>
      </c>
      <c r="B73" s="6" t="n">
        <v>0</v>
      </c>
      <c r="C73" s="7" t="s">
        <v>61</v>
      </c>
      <c r="D73" s="8"/>
      <c r="E73" s="8" t="s">
        <v>175</v>
      </c>
      <c r="F73" s="8" t="s">
        <v>176</v>
      </c>
      <c r="G73" s="0" t="s">
        <v>13</v>
      </c>
    </row>
    <row r="75" customFormat="false" ht="15" hidden="false" customHeight="false" outlineLevel="0" collapsed="false">
      <c r="A75" s="13" t="s">
        <v>177</v>
      </c>
      <c r="B75" s="14"/>
      <c r="C75" s="14"/>
      <c r="D75" s="14"/>
      <c r="E75" s="14"/>
      <c r="F75" s="14"/>
    </row>
    <row r="76" customFormat="false" ht="15" hidden="false" customHeight="false" outlineLevel="0" collapsed="false">
      <c r="A76" s="0" t="s">
        <v>65</v>
      </c>
      <c r="B76" s="6" t="n">
        <v>0</v>
      </c>
      <c r="C76" s="7" t="s">
        <v>66</v>
      </c>
      <c r="D76" s="8"/>
      <c r="E76" s="8" t="s">
        <v>178</v>
      </c>
      <c r="F76" s="8" t="s">
        <v>179</v>
      </c>
    </row>
    <row r="77" customFormat="false" ht="15" hidden="false" customHeight="false" outlineLevel="0" collapsed="false">
      <c r="A77" s="0" t="s">
        <v>69</v>
      </c>
      <c r="B77" s="6" t="n">
        <v>0.0469</v>
      </c>
      <c r="C77" s="7" t="s">
        <v>21</v>
      </c>
      <c r="D77" s="8"/>
      <c r="E77" s="8" t="s">
        <v>180</v>
      </c>
      <c r="F77" s="8" t="s">
        <v>181</v>
      </c>
    </row>
    <row r="78" customFormat="false" ht="15" hidden="false" customHeight="false" outlineLevel="0" collapsed="false">
      <c r="A78" s="0" t="s">
        <v>72</v>
      </c>
      <c r="B78" s="6" t="n">
        <v>6</v>
      </c>
      <c r="C78" s="7" t="s">
        <v>40</v>
      </c>
      <c r="D78" s="8"/>
      <c r="E78" s="8" t="s">
        <v>182</v>
      </c>
      <c r="F78" s="8" t="s">
        <v>183</v>
      </c>
    </row>
    <row r="79" customFormat="false" ht="15" hidden="false" customHeight="false" outlineLevel="0" collapsed="false">
      <c r="A79" s="0" t="s">
        <v>75</v>
      </c>
      <c r="B79" s="6" t="n">
        <v>0.55</v>
      </c>
      <c r="C79" s="7" t="s">
        <v>40</v>
      </c>
      <c r="D79" s="8"/>
      <c r="E79" s="8" t="s">
        <v>184</v>
      </c>
      <c r="F79" s="8" t="s">
        <v>185</v>
      </c>
    </row>
    <row r="80" customFormat="false" ht="15" hidden="false" customHeight="false" outlineLevel="0" collapsed="false">
      <c r="A80" s="12" t="s">
        <v>78</v>
      </c>
      <c r="B80" s="6" t="n">
        <v>0.089</v>
      </c>
      <c r="C80" s="7" t="s">
        <v>21</v>
      </c>
      <c r="D80" s="8" t="s">
        <v>79</v>
      </c>
      <c r="E80" s="8" t="s">
        <v>186</v>
      </c>
      <c r="F80" s="8" t="s">
        <v>187</v>
      </c>
    </row>
    <row r="81" customFormat="false" ht="15" hidden="false" customHeight="false" outlineLevel="0" collapsed="false">
      <c r="A81" s="12" t="s">
        <v>82</v>
      </c>
      <c r="B81" s="6" t="n">
        <v>0</v>
      </c>
      <c r="C81" s="7" t="s">
        <v>40</v>
      </c>
      <c r="D81" s="8" t="s">
        <v>79</v>
      </c>
      <c r="E81" s="8" t="s">
        <v>188</v>
      </c>
      <c r="F81" s="8" t="s">
        <v>189</v>
      </c>
    </row>
    <row r="82" customFormat="false" ht="15" hidden="false" customHeight="false" outlineLevel="0" collapsed="false">
      <c r="A82" s="12" t="s">
        <v>85</v>
      </c>
      <c r="B82" s="6" t="n">
        <v>0.55</v>
      </c>
      <c r="C82" s="7" t="s">
        <v>40</v>
      </c>
      <c r="D82" s="8" t="s">
        <v>79</v>
      </c>
      <c r="E82" s="8" t="s">
        <v>190</v>
      </c>
      <c r="F82" s="8" t="s">
        <v>191</v>
      </c>
    </row>
    <row r="83" customFormat="false" ht="15" hidden="false" customHeight="false" outlineLevel="0" collapsed="false">
      <c r="A83" s="12" t="s">
        <v>88</v>
      </c>
      <c r="B83" s="6" t="n">
        <v>0.089</v>
      </c>
      <c r="C83" s="7" t="s">
        <v>21</v>
      </c>
      <c r="D83" s="8" t="s">
        <v>79</v>
      </c>
      <c r="E83" s="8" t="s">
        <v>192</v>
      </c>
      <c r="F83" s="8" t="s">
        <v>193</v>
      </c>
    </row>
    <row r="84" customFormat="false" ht="15" hidden="false" customHeight="false" outlineLevel="0" collapsed="false">
      <c r="A84" s="12" t="s">
        <v>91</v>
      </c>
      <c r="B84" s="6" t="n">
        <v>0</v>
      </c>
      <c r="C84" s="7" t="s">
        <v>40</v>
      </c>
      <c r="D84" s="8" t="s">
        <v>79</v>
      </c>
      <c r="E84" s="8" t="s">
        <v>194</v>
      </c>
      <c r="F84" s="8" t="s">
        <v>195</v>
      </c>
    </row>
    <row r="85" customFormat="false" ht="15" hidden="false" customHeight="false" outlineLevel="0" collapsed="false">
      <c r="A85" s="12" t="s">
        <v>94</v>
      </c>
      <c r="B85" s="6" t="n">
        <v>0.55</v>
      </c>
      <c r="C85" s="7" t="s">
        <v>40</v>
      </c>
      <c r="D85" s="8" t="s">
        <v>79</v>
      </c>
      <c r="E85" s="8" t="s">
        <v>196</v>
      </c>
      <c r="F85" s="8" t="s">
        <v>197</v>
      </c>
    </row>
    <row r="86" customFormat="false" ht="15" hidden="false" customHeight="false" outlineLevel="0" collapsed="false">
      <c r="A86" s="12" t="s">
        <v>97</v>
      </c>
      <c r="B86" s="6" t="n">
        <v>0.08</v>
      </c>
      <c r="C86" s="7" t="s">
        <v>21</v>
      </c>
      <c r="D86" s="8" t="s">
        <v>79</v>
      </c>
      <c r="E86" s="8" t="s">
        <v>198</v>
      </c>
      <c r="F86" s="8" t="s">
        <v>199</v>
      </c>
    </row>
    <row r="87" customFormat="false" ht="15" hidden="false" customHeight="false" outlineLevel="0" collapsed="false">
      <c r="A87" s="12" t="s">
        <v>100</v>
      </c>
      <c r="B87" s="6" t="n">
        <v>0.075</v>
      </c>
      <c r="C87" s="7" t="s">
        <v>21</v>
      </c>
      <c r="D87" s="8" t="s">
        <v>79</v>
      </c>
      <c r="E87" s="8" t="s">
        <v>200</v>
      </c>
      <c r="F87" s="8" t="s">
        <v>201</v>
      </c>
    </row>
    <row r="88" customFormat="false" ht="15" hidden="false" customHeight="false" outlineLevel="0" collapsed="false">
      <c r="A88" s="12" t="s">
        <v>103</v>
      </c>
      <c r="B88" s="6" t="n">
        <v>0</v>
      </c>
      <c r="C88" s="7" t="s">
        <v>40</v>
      </c>
      <c r="D88" s="8" t="s">
        <v>79</v>
      </c>
      <c r="E88" s="8" t="s">
        <v>202</v>
      </c>
      <c r="F88" s="8" t="s">
        <v>203</v>
      </c>
    </row>
    <row r="89" customFormat="false" ht="15" hidden="false" customHeight="false" outlineLevel="0" collapsed="false">
      <c r="A89" s="12" t="s">
        <v>106</v>
      </c>
      <c r="B89" s="6" t="n">
        <v>0.55</v>
      </c>
      <c r="C89" s="7" t="s">
        <v>40</v>
      </c>
      <c r="D89" s="8" t="s">
        <v>79</v>
      </c>
      <c r="E89" s="8" t="s">
        <v>204</v>
      </c>
      <c r="F89" s="8" t="s">
        <v>205</v>
      </c>
    </row>
    <row r="90" customFormat="false" ht="15" hidden="false" customHeight="false" outlineLevel="0" collapsed="false">
      <c r="A90" s="12" t="s">
        <v>109</v>
      </c>
      <c r="B90" s="6" t="n">
        <v>0.01</v>
      </c>
      <c r="C90" s="7" t="s">
        <v>21</v>
      </c>
      <c r="D90" s="8" t="s">
        <v>79</v>
      </c>
      <c r="E90" s="8" t="s">
        <v>206</v>
      </c>
      <c r="F90" s="8" t="s">
        <v>207</v>
      </c>
    </row>
    <row r="91" customFormat="false" ht="15" hidden="false" customHeight="false" outlineLevel="0" collapsed="false">
      <c r="A91" s="12" t="s">
        <v>112</v>
      </c>
      <c r="B91" s="6" t="n">
        <v>0.15</v>
      </c>
      <c r="C91" s="7" t="s">
        <v>21</v>
      </c>
      <c r="D91" s="8" t="s">
        <v>79</v>
      </c>
      <c r="E91" s="8" t="s">
        <v>208</v>
      </c>
      <c r="F91" s="8" t="s">
        <v>209</v>
      </c>
    </row>
    <row r="92" customFormat="false" ht="15" hidden="false" customHeight="false" outlineLevel="0" collapsed="false">
      <c r="A92" s="12" t="s">
        <v>115</v>
      </c>
      <c r="B92" s="6" t="n">
        <v>0</v>
      </c>
      <c r="C92" s="7" t="s">
        <v>40</v>
      </c>
      <c r="D92" s="8" t="s">
        <v>79</v>
      </c>
      <c r="E92" s="8" t="s">
        <v>210</v>
      </c>
      <c r="F92" s="8" t="s">
        <v>211</v>
      </c>
    </row>
    <row r="93" customFormat="false" ht="15" hidden="false" customHeight="false" outlineLevel="0" collapsed="false">
      <c r="A93" s="12" t="s">
        <v>118</v>
      </c>
      <c r="B93" s="6" t="n">
        <v>0.55</v>
      </c>
      <c r="C93" s="7" t="s">
        <v>40</v>
      </c>
      <c r="D93" s="8" t="s">
        <v>79</v>
      </c>
      <c r="E93" s="8" t="s">
        <v>212</v>
      </c>
      <c r="F93" s="8" t="s">
        <v>213</v>
      </c>
    </row>
    <row r="94" customFormat="false" ht="15" hidden="false" customHeight="false" outlineLevel="0" collapsed="false">
      <c r="A94" s="12" t="s">
        <v>121</v>
      </c>
      <c r="B94" s="6" t="n">
        <v>0.006</v>
      </c>
      <c r="C94" s="7" t="s">
        <v>21</v>
      </c>
      <c r="D94" s="8" t="s">
        <v>79</v>
      </c>
      <c r="E94" s="8" t="s">
        <v>214</v>
      </c>
      <c r="F94" s="8" t="s">
        <v>215</v>
      </c>
    </row>
    <row r="95" customFormat="false" ht="15" hidden="false" customHeight="false" outlineLevel="0" collapsed="false">
      <c r="A95" s="12" t="s">
        <v>124</v>
      </c>
      <c r="B95" s="6" t="n">
        <v>0.05</v>
      </c>
      <c r="C95" s="7" t="s">
        <v>21</v>
      </c>
      <c r="D95" s="8" t="s">
        <v>79</v>
      </c>
      <c r="E95" s="8" t="s">
        <v>216</v>
      </c>
      <c r="F95" s="8" t="s">
        <v>217</v>
      </c>
    </row>
    <row r="96" customFormat="false" ht="15" hidden="false" customHeight="false" outlineLevel="0" collapsed="false">
      <c r="A96" s="12" t="s">
        <v>127</v>
      </c>
      <c r="B96" s="6" t="n">
        <v>0</v>
      </c>
      <c r="C96" s="7" t="s">
        <v>40</v>
      </c>
      <c r="D96" s="8" t="s">
        <v>79</v>
      </c>
      <c r="E96" s="8" t="s">
        <v>218</v>
      </c>
      <c r="F96" s="8" t="s">
        <v>219</v>
      </c>
    </row>
    <row r="97" customFormat="false" ht="15" hidden="false" customHeight="false" outlineLevel="0" collapsed="false">
      <c r="A97" s="12" t="s">
        <v>130</v>
      </c>
      <c r="B97" s="6" t="n">
        <v>0.55</v>
      </c>
      <c r="C97" s="7" t="s">
        <v>40</v>
      </c>
      <c r="D97" s="8" t="s">
        <v>79</v>
      </c>
      <c r="E97" s="8" t="s">
        <v>220</v>
      </c>
      <c r="F97" s="8" t="s">
        <v>221</v>
      </c>
    </row>
    <row r="98" customFormat="false" ht="15" hidden="false" customHeight="false" outlineLevel="0" collapsed="false">
      <c r="A98" s="12" t="s">
        <v>133</v>
      </c>
      <c r="B98" s="6" t="n">
        <v>0.5</v>
      </c>
      <c r="C98" s="7" t="s">
        <v>21</v>
      </c>
      <c r="D98" s="8" t="s">
        <v>134</v>
      </c>
      <c r="E98" s="8" t="s">
        <v>222</v>
      </c>
      <c r="F98" s="8" t="s">
        <v>223</v>
      </c>
    </row>
    <row r="100" customFormat="false" ht="15" hidden="false" customHeight="false" outlineLevel="0" collapsed="false">
      <c r="A100" s="16" t="s">
        <v>224</v>
      </c>
      <c r="B100" s="17"/>
      <c r="C100" s="17"/>
      <c r="D100" s="17"/>
      <c r="E100" s="17"/>
      <c r="F100" s="17"/>
    </row>
    <row r="101" customFormat="false" ht="15" hidden="false" customHeight="false" outlineLevel="0" collapsed="false">
      <c r="A101" s="12" t="s">
        <v>225</v>
      </c>
      <c r="B101" s="6" t="n">
        <v>2</v>
      </c>
      <c r="C101" s="7" t="s">
        <v>21</v>
      </c>
      <c r="D101" s="8" t="s">
        <v>134</v>
      </c>
      <c r="E101" s="8" t="s">
        <v>226</v>
      </c>
      <c r="F101" s="8" t="s">
        <v>227</v>
      </c>
      <c r="G101" s="0" t="s">
        <v>13</v>
      </c>
    </row>
    <row r="102" customFormat="false" ht="15" hidden="false" customHeight="false" outlineLevel="0" collapsed="false">
      <c r="A102" s="12" t="s">
        <v>228</v>
      </c>
      <c r="B102" s="6" t="n">
        <v>5</v>
      </c>
      <c r="C102" s="7" t="s">
        <v>21</v>
      </c>
      <c r="D102" s="8" t="s">
        <v>134</v>
      </c>
      <c r="E102" s="8" t="s">
        <v>229</v>
      </c>
      <c r="F102" s="8" t="s">
        <v>230</v>
      </c>
      <c r="G102" s="0" t="s">
        <v>13</v>
      </c>
    </row>
    <row r="103" customFormat="false" ht="15" hidden="false" customHeight="false" outlineLevel="0" collapsed="false">
      <c r="A103" s="0" t="s">
        <v>231</v>
      </c>
      <c r="B103" s="6" t="n">
        <v>0.65</v>
      </c>
      <c r="C103" s="7" t="s">
        <v>40</v>
      </c>
      <c r="D103" s="8"/>
      <c r="E103" s="8" t="s">
        <v>232</v>
      </c>
      <c r="F103" s="8" t="s">
        <v>233</v>
      </c>
      <c r="G103" s="0" t="s">
        <v>13</v>
      </c>
    </row>
    <row r="105" customFormat="false" ht="15" hidden="false" customHeight="false" outlineLevel="0" collapsed="false">
      <c r="A105" s="16" t="s">
        <v>234</v>
      </c>
      <c r="B105" s="17"/>
      <c r="C105" s="17"/>
      <c r="D105" s="17"/>
      <c r="E105" s="17"/>
      <c r="F105" s="17"/>
    </row>
    <row r="106" customFormat="false" ht="15" hidden="false" customHeight="false" outlineLevel="0" collapsed="false">
      <c r="A106" s="0" t="s">
        <v>235</v>
      </c>
      <c r="B106" s="6" t="n">
        <v>1</v>
      </c>
      <c r="C106" s="7" t="s">
        <v>21</v>
      </c>
      <c r="D106" s="8"/>
      <c r="E106" s="8" t="s">
        <v>236</v>
      </c>
      <c r="F106" s="8" t="s">
        <v>237</v>
      </c>
      <c r="G106" s="0" t="s">
        <v>13</v>
      </c>
    </row>
    <row r="107" customFormat="false" ht="15" hidden="false" customHeight="false" outlineLevel="0" collapsed="false">
      <c r="A107" s="0" t="s">
        <v>238</v>
      </c>
      <c r="B107" s="6" t="n">
        <v>2</v>
      </c>
      <c r="C107" s="7" t="s">
        <v>21</v>
      </c>
      <c r="D107" s="8"/>
      <c r="E107" s="8" t="s">
        <v>239</v>
      </c>
      <c r="F107" s="8" t="s">
        <v>240</v>
      </c>
      <c r="G107" s="0" t="s">
        <v>13</v>
      </c>
    </row>
    <row r="108" customFormat="false" ht="15" hidden="false" customHeight="false" outlineLevel="0" collapsed="false">
      <c r="A108" s="0" t="s">
        <v>241</v>
      </c>
      <c r="B108" s="6" t="n">
        <v>15</v>
      </c>
      <c r="C108" s="7" t="s">
        <v>242</v>
      </c>
      <c r="D108" s="8"/>
      <c r="E108" s="8" t="s">
        <v>243</v>
      </c>
      <c r="F108" s="8" t="s">
        <v>244</v>
      </c>
      <c r="G108" s="0" t="s">
        <v>13</v>
      </c>
    </row>
    <row r="109" customFormat="false" ht="15" hidden="false" customHeight="false" outlineLevel="0" collapsed="false">
      <c r="A109" s="0" t="s">
        <v>245</v>
      </c>
      <c r="B109" s="6" t="n">
        <v>0.95</v>
      </c>
      <c r="C109" s="7" t="s">
        <v>40</v>
      </c>
      <c r="D109" s="8"/>
      <c r="E109" s="8" t="s">
        <v>246</v>
      </c>
      <c r="F109" s="8" t="s">
        <v>247</v>
      </c>
      <c r="G109" s="0" t="s">
        <v>13</v>
      </c>
    </row>
    <row r="111" customFormat="false" ht="15" hidden="false" customHeight="false" outlineLevel="0" collapsed="false">
      <c r="A111" s="4" t="s">
        <v>248</v>
      </c>
      <c r="B111" s="5"/>
      <c r="C111" s="5"/>
      <c r="D111" s="5"/>
      <c r="E111" s="5"/>
      <c r="F111" s="5"/>
    </row>
    <row r="112" customFormat="false" ht="15" hidden="false" customHeight="false" outlineLevel="0" collapsed="false">
      <c r="A112" s="0" t="s">
        <v>249</v>
      </c>
      <c r="B112" s="6" t="n">
        <v>0.1</v>
      </c>
      <c r="C112" s="7" t="s">
        <v>40</v>
      </c>
      <c r="D112" s="8" t="s">
        <v>250</v>
      </c>
      <c r="E112" s="8"/>
      <c r="F112" s="8" t="s">
        <v>251</v>
      </c>
      <c r="G112" s="0" t="s">
        <v>13</v>
      </c>
    </row>
    <row r="113" customFormat="false" ht="15" hidden="false" customHeight="false" outlineLevel="0" collapsed="false">
      <c r="A113" s="0" t="s">
        <v>252</v>
      </c>
      <c r="B113" s="6" t="n">
        <v>1500000</v>
      </c>
      <c r="C113" s="7" t="s">
        <v>253</v>
      </c>
      <c r="D113" s="8" t="s">
        <v>250</v>
      </c>
      <c r="E113" s="8"/>
      <c r="F113" s="8" t="s">
        <v>254</v>
      </c>
      <c r="G113" s="0" t="s">
        <v>13</v>
      </c>
    </row>
    <row r="115" customFormat="false" ht="15" hidden="false" customHeight="false" outlineLevel="0" collapsed="false">
      <c r="A115" s="18" t="s">
        <v>255</v>
      </c>
      <c r="B115" s="19"/>
      <c r="C115" s="19"/>
      <c r="D115" s="19"/>
      <c r="E115" s="19"/>
      <c r="F115" s="19"/>
    </row>
    <row r="116" customFormat="false" ht="15" hidden="false" customHeight="false" outlineLevel="0" collapsed="false">
      <c r="A116" s="12" t="s">
        <v>256</v>
      </c>
      <c r="B116" s="6" t="n">
        <v>4</v>
      </c>
      <c r="C116" s="7" t="s">
        <v>21</v>
      </c>
      <c r="D116" s="8" t="s">
        <v>257</v>
      </c>
      <c r="E116" s="8" t="s">
        <v>258</v>
      </c>
      <c r="F116" s="8" t="s">
        <v>259</v>
      </c>
    </row>
    <row r="117" customFormat="false" ht="15" hidden="false" customHeight="false" outlineLevel="0" collapsed="false">
      <c r="A117" s="12" t="s">
        <v>260</v>
      </c>
      <c r="B117" s="6" t="n">
        <v>36</v>
      </c>
      <c r="C117" s="7" t="s">
        <v>21</v>
      </c>
      <c r="D117" s="8" t="s">
        <v>257</v>
      </c>
      <c r="E117" s="8" t="s">
        <v>261</v>
      </c>
      <c r="F117" s="8" t="s">
        <v>262</v>
      </c>
    </row>
    <row r="118" customFormat="false" ht="15" hidden="false" customHeight="false" outlineLevel="0" collapsed="false">
      <c r="A118" s="12" t="s">
        <v>263</v>
      </c>
      <c r="B118" s="6" t="n">
        <v>0.01</v>
      </c>
      <c r="C118" s="7" t="s">
        <v>264</v>
      </c>
      <c r="D118" s="8" t="s">
        <v>257</v>
      </c>
      <c r="E118" s="8" t="s">
        <v>265</v>
      </c>
      <c r="F118" s="8" t="s">
        <v>266</v>
      </c>
    </row>
    <row r="119" customFormat="false" ht="15" hidden="false" customHeight="false" outlineLevel="0" collapsed="false">
      <c r="A119" s="12" t="s">
        <v>267</v>
      </c>
      <c r="B119" s="6" t="s">
        <v>268</v>
      </c>
      <c r="C119" s="7"/>
      <c r="D119" s="8" t="s">
        <v>257</v>
      </c>
      <c r="E119" s="8" t="s">
        <v>269</v>
      </c>
      <c r="F119" s="8" t="s">
        <v>270</v>
      </c>
    </row>
    <row r="120" customFormat="false" ht="15" hidden="false" customHeight="false" outlineLevel="0" collapsed="false">
      <c r="A120" s="12" t="s">
        <v>271</v>
      </c>
      <c r="B120" s="6" t="n">
        <v>29</v>
      </c>
      <c r="C120" s="7" t="s">
        <v>272</v>
      </c>
      <c r="D120" s="8" t="s">
        <v>273</v>
      </c>
      <c r="E120" s="8" t="s">
        <v>274</v>
      </c>
      <c r="F120" s="8" t="s">
        <v>275</v>
      </c>
    </row>
    <row r="121" customFormat="false" ht="15" hidden="false" customHeight="false" outlineLevel="0" collapsed="false">
      <c r="A121" s="12" t="s">
        <v>276</v>
      </c>
      <c r="B121" s="6" t="n">
        <v>3.5</v>
      </c>
      <c r="C121" s="7" t="s">
        <v>277</v>
      </c>
      <c r="D121" s="8" t="s">
        <v>278</v>
      </c>
      <c r="E121" s="8" t="s">
        <v>279</v>
      </c>
      <c r="F121" s="8" t="s">
        <v>280</v>
      </c>
    </row>
    <row r="122" customFormat="false" ht="15" hidden="false" customHeight="false" outlineLevel="0" collapsed="false">
      <c r="A122" s="12" t="s">
        <v>281</v>
      </c>
      <c r="B122" s="6" t="n">
        <v>5.25</v>
      </c>
      <c r="C122" s="7" t="s">
        <v>282</v>
      </c>
      <c r="D122" s="8" t="s">
        <v>278</v>
      </c>
      <c r="E122" s="8" t="s">
        <v>283</v>
      </c>
      <c r="F122" s="8" t="s">
        <v>284</v>
      </c>
    </row>
    <row r="123" customFormat="false" ht="15" hidden="false" customHeight="false" outlineLevel="0" collapsed="false">
      <c r="A123" s="12" t="s">
        <v>285</v>
      </c>
      <c r="B123" s="6" t="n">
        <v>5</v>
      </c>
      <c r="C123" s="7" t="s">
        <v>286</v>
      </c>
      <c r="D123" s="8" t="s">
        <v>278</v>
      </c>
      <c r="E123" s="8" t="s">
        <v>287</v>
      </c>
      <c r="F123" s="8" t="s">
        <v>288</v>
      </c>
    </row>
    <row r="124" customFormat="false" ht="15" hidden="false" customHeight="false" outlineLevel="0" collapsed="false">
      <c r="A124" s="12" t="s">
        <v>289</v>
      </c>
      <c r="B124" s="6" t="n">
        <v>1</v>
      </c>
      <c r="C124" s="7" t="s">
        <v>290</v>
      </c>
      <c r="D124" s="8" t="s">
        <v>291</v>
      </c>
      <c r="E124" s="8" t="s">
        <v>292</v>
      </c>
      <c r="F124" s="8" t="s">
        <v>293</v>
      </c>
    </row>
  </sheetData>
  <dataValidations count="2">
    <dataValidation allowBlank="false" errorStyle="stop" operator="between" showDropDown="false" showErrorMessage="false" showInputMessage="false" sqref="B56" type="list">
      <formula1>"Isopropanol,Ethanol,E98,E85,Diesel #2,Acetone,Toluene,Meowjave Green,Methanol,Nitro 50-50"</formula1>
      <formula2>0</formula2>
    </dataValidation>
    <dataValidation allowBlank="false" errorStyle="stop" operator="between" showDropDown="false" showErrorMessage="false" showInputMessage="false" sqref="B57" type="list">
      <formula1>"Stacked,Concentric"</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R57"/>
  <sheetViews>
    <sheetView showFormulas="false" showGridLines="false" showRowColHeaders="true" showZeros="true" rightToLeft="false" tabSelected="true" showOutlineSymbols="true" defaultGridColor="true" view="normal" topLeftCell="A1" colorId="64" zoomScale="140" zoomScaleNormal="140" zoomScalePageLayoutView="100" workbookViewId="0">
      <selection pane="topLeft" activeCell="L33" activeCellId="0" sqref="L33"/>
    </sheetView>
  </sheetViews>
  <sheetFormatPr defaultColWidth="11.53515625" defaultRowHeight="13.8" customHeight="false" zeroHeight="false" outlineLevelRow="0" outlineLevelCol="0"/>
  <cols>
    <col collapsed="false" customWidth="true" hidden="false" outlineLevel="0" max="2" min="1" style="0" width="3.24"/>
    <col collapsed="false" customWidth="true" hidden="false" outlineLevel="0" max="3" min="3" style="0" width="23.27"/>
    <col collapsed="false" customWidth="true" hidden="false" outlineLevel="0" max="7" min="4" style="0" width="7.78"/>
    <col collapsed="false" customWidth="true" hidden="false" outlineLevel="0" max="8" min="8" style="0" width="25.74"/>
    <col collapsed="false" customWidth="true" hidden="false" outlineLevel="0" max="11" min="9" style="0" width="3.24"/>
    <col collapsed="false" customWidth="true" hidden="false" outlineLevel="0" max="12" min="12" style="0" width="22.76"/>
    <col collapsed="false" customWidth="true" hidden="false" outlineLevel="0" max="16" min="13" style="0" width="7.78"/>
    <col collapsed="false" customWidth="true" hidden="false" outlineLevel="0" max="18" min="18" style="0" width="3.24"/>
  </cols>
  <sheetData>
    <row r="2" customFormat="false" ht="13.8" hidden="false" customHeight="false" outlineLevel="0" collapsed="false">
      <c r="B2" s="20" t="s">
        <v>294</v>
      </c>
      <c r="K2" s="20" t="s">
        <v>295</v>
      </c>
    </row>
    <row r="3" customFormat="false" ht="13.8" hidden="false" customHeight="false" outlineLevel="0" collapsed="false">
      <c r="B3" s="21"/>
      <c r="C3" s="22"/>
      <c r="D3" s="22"/>
      <c r="E3" s="22"/>
      <c r="F3" s="22"/>
      <c r="G3" s="23"/>
      <c r="H3" s="23"/>
      <c r="I3" s="24"/>
      <c r="K3" s="25"/>
      <c r="L3" s="26"/>
      <c r="M3" s="26"/>
      <c r="N3" s="26"/>
      <c r="O3" s="26"/>
      <c r="P3" s="27"/>
      <c r="Q3" s="27"/>
      <c r="R3" s="28"/>
    </row>
    <row r="4" customFormat="false" ht="13.8" hidden="false" customHeight="false" outlineLevel="0" collapsed="false">
      <c r="B4" s="29"/>
      <c r="C4" s="30" t="s">
        <v>296</v>
      </c>
      <c r="D4" s="31"/>
      <c r="E4" s="31"/>
      <c r="F4" s="31"/>
      <c r="G4" s="31"/>
      <c r="H4" s="32"/>
      <c r="I4" s="33"/>
      <c r="K4" s="34"/>
      <c r="L4" s="35" t="s">
        <v>297</v>
      </c>
      <c r="M4" s="36"/>
      <c r="N4" s="36"/>
      <c r="O4" s="36"/>
      <c r="P4" s="36"/>
      <c r="Q4" s="37"/>
      <c r="R4" s="38"/>
    </row>
    <row r="5" customFormat="false" ht="13.8" hidden="false" customHeight="false" outlineLevel="0" collapsed="false">
      <c r="B5" s="29"/>
      <c r="C5" s="39"/>
      <c r="D5" s="40" t="s">
        <v>298</v>
      </c>
      <c r="E5" s="40"/>
      <c r="F5" s="40" t="s">
        <v>138</v>
      </c>
      <c r="G5" s="40"/>
      <c r="H5" s="39"/>
      <c r="I5" s="33"/>
      <c r="K5" s="34"/>
      <c r="L5" s="41" t="s">
        <v>2</v>
      </c>
      <c r="M5" s="42" t="s">
        <v>299</v>
      </c>
      <c r="N5" s="42"/>
      <c r="O5" s="42" t="s">
        <v>300</v>
      </c>
      <c r="P5" s="42"/>
      <c r="Q5" s="41" t="s">
        <v>301</v>
      </c>
      <c r="R5" s="38"/>
    </row>
    <row r="6" customFormat="false" ht="13.8" hidden="false" customHeight="false" outlineLevel="0" collapsed="false">
      <c r="B6" s="29"/>
      <c r="C6" s="39"/>
      <c r="D6" s="40" t="s">
        <v>302</v>
      </c>
      <c r="E6" s="40"/>
      <c r="F6" s="43" t="s">
        <v>139</v>
      </c>
      <c r="G6" s="43"/>
      <c r="H6" s="39"/>
      <c r="I6" s="33"/>
      <c r="K6" s="34"/>
      <c r="L6" s="44" t="s">
        <v>303</v>
      </c>
      <c r="M6" s="45" t="n">
        <v>0.65</v>
      </c>
      <c r="N6" s="44"/>
      <c r="O6" s="44"/>
      <c r="P6" s="44"/>
      <c r="Q6" s="44"/>
      <c r="R6" s="38"/>
    </row>
    <row r="7" customFormat="false" ht="13.8" hidden="false" customHeight="false" outlineLevel="0" collapsed="false">
      <c r="B7" s="29"/>
      <c r="C7" s="30"/>
      <c r="D7" s="46"/>
      <c r="E7" s="46"/>
      <c r="F7" s="46"/>
      <c r="G7" s="46"/>
      <c r="H7" s="32"/>
      <c r="I7" s="33"/>
      <c r="K7" s="34"/>
      <c r="L7" s="44" t="s">
        <v>304</v>
      </c>
      <c r="M7" s="45" t="n">
        <v>0.95</v>
      </c>
      <c r="N7" s="44"/>
      <c r="O7" s="44"/>
      <c r="P7" s="44"/>
      <c r="Q7" s="44"/>
      <c r="R7" s="38"/>
    </row>
    <row r="8" customFormat="false" ht="13.8" hidden="false" customHeight="false" outlineLevel="0" collapsed="false">
      <c r="B8" s="29"/>
      <c r="C8" s="30" t="s">
        <v>305</v>
      </c>
      <c r="D8" s="46"/>
      <c r="E8" s="46"/>
      <c r="F8" s="46"/>
      <c r="G8" s="46"/>
      <c r="H8" s="32"/>
      <c r="I8" s="33"/>
      <c r="K8" s="34"/>
      <c r="L8" s="44" t="s">
        <v>306</v>
      </c>
      <c r="M8" s="45" t="n">
        <v>0.7</v>
      </c>
      <c r="N8" s="44"/>
      <c r="O8" s="44"/>
      <c r="P8" s="44"/>
      <c r="Q8" s="44"/>
      <c r="R8" s="38"/>
    </row>
    <row r="9" customFormat="false" ht="13.8" hidden="false" customHeight="false" outlineLevel="0" collapsed="false">
      <c r="B9" s="29"/>
      <c r="C9" s="41" t="s">
        <v>2</v>
      </c>
      <c r="D9" s="42" t="s">
        <v>299</v>
      </c>
      <c r="E9" s="42"/>
      <c r="F9" s="42" t="s">
        <v>300</v>
      </c>
      <c r="G9" s="42"/>
      <c r="H9" s="41" t="s">
        <v>301</v>
      </c>
      <c r="I9" s="33"/>
      <c r="K9" s="34"/>
      <c r="L9" s="44" t="s">
        <v>307</v>
      </c>
      <c r="M9" s="45" t="n">
        <v>0.25</v>
      </c>
      <c r="N9" s="44" t="s">
        <v>44</v>
      </c>
      <c r="O9" s="44"/>
      <c r="P9" s="44"/>
      <c r="Q9" s="44"/>
      <c r="R9" s="38"/>
    </row>
    <row r="10" customFormat="false" ht="13.8" hidden="false" customHeight="false" outlineLevel="0" collapsed="false">
      <c r="B10" s="29"/>
      <c r="C10" s="44" t="s">
        <v>9</v>
      </c>
      <c r="D10" s="45" t="n">
        <v>0.01</v>
      </c>
      <c r="E10" s="44" t="s">
        <v>10</v>
      </c>
      <c r="F10" s="44"/>
      <c r="G10" s="44"/>
      <c r="H10" s="44"/>
      <c r="I10" s="33"/>
      <c r="K10" s="34"/>
      <c r="L10" s="36"/>
      <c r="M10" s="36"/>
      <c r="N10" s="36"/>
      <c r="O10" s="36"/>
      <c r="P10" s="36"/>
      <c r="Q10" s="36"/>
      <c r="R10" s="38"/>
    </row>
    <row r="11" customFormat="false" ht="13.8" hidden="false" customHeight="false" outlineLevel="0" collapsed="false">
      <c r="B11" s="29"/>
      <c r="C11" s="44" t="s">
        <v>308</v>
      </c>
      <c r="D11" s="45" t="n">
        <v>30</v>
      </c>
      <c r="E11" s="44" t="s">
        <v>10</v>
      </c>
      <c r="F11" s="44"/>
      <c r="G11" s="44"/>
      <c r="H11" s="44"/>
      <c r="I11" s="33"/>
      <c r="K11" s="34"/>
      <c r="L11" s="35" t="s">
        <v>309</v>
      </c>
      <c r="M11" s="36"/>
      <c r="N11" s="36"/>
      <c r="O11" s="36"/>
      <c r="P11" s="36"/>
      <c r="Q11" s="36"/>
      <c r="R11" s="38"/>
    </row>
    <row r="12" customFormat="false" ht="13.8" hidden="false" customHeight="false" outlineLevel="0" collapsed="false">
      <c r="B12" s="29"/>
      <c r="C12" s="44" t="s">
        <v>310</v>
      </c>
      <c r="D12" s="45" t="n">
        <v>60</v>
      </c>
      <c r="E12" s="44" t="s">
        <v>311</v>
      </c>
      <c r="F12" s="47" t="n">
        <f aca="false">(D12-32)/1.8</f>
        <v>15.5555555555556</v>
      </c>
      <c r="G12" s="44" t="s">
        <v>312</v>
      </c>
      <c r="H12" s="44"/>
      <c r="I12" s="33"/>
      <c r="K12" s="34"/>
      <c r="L12" s="48" t="s">
        <v>313</v>
      </c>
      <c r="M12" s="45" t="n">
        <v>1.6</v>
      </c>
      <c r="N12" s="48"/>
      <c r="O12" s="44"/>
      <c r="P12" s="44"/>
      <c r="Q12" s="44"/>
      <c r="R12" s="38"/>
    </row>
    <row r="13" customFormat="false" ht="13.8" hidden="false" customHeight="false" outlineLevel="0" collapsed="false">
      <c r="B13" s="29"/>
      <c r="C13" s="44" t="s">
        <v>314</v>
      </c>
      <c r="D13" s="45" t="n">
        <v>13.5</v>
      </c>
      <c r="E13" s="44" t="s">
        <v>61</v>
      </c>
      <c r="F13" s="44" t="n">
        <f aca="false">D13*6895</f>
        <v>93082.5</v>
      </c>
      <c r="G13" s="44" t="s">
        <v>315</v>
      </c>
      <c r="H13" s="44" t="s">
        <v>316</v>
      </c>
      <c r="I13" s="33"/>
      <c r="K13" s="34"/>
      <c r="L13" s="48" t="s">
        <v>317</v>
      </c>
      <c r="M13" s="45" t="n">
        <v>1.6</v>
      </c>
      <c r="N13" s="48"/>
      <c r="O13" s="44"/>
      <c r="P13" s="44"/>
      <c r="Q13" s="44"/>
      <c r="R13" s="38"/>
    </row>
    <row r="14" customFormat="false" ht="13.8" hidden="false" customHeight="false" outlineLevel="0" collapsed="false">
      <c r="B14" s="49"/>
      <c r="C14" s="50"/>
      <c r="D14" s="50"/>
      <c r="E14" s="50"/>
      <c r="F14" s="50"/>
      <c r="G14" s="50"/>
      <c r="H14" s="50"/>
      <c r="I14" s="51"/>
      <c r="K14" s="34"/>
      <c r="L14" s="44" t="s">
        <v>318</v>
      </c>
      <c r="M14" s="45" t="n">
        <v>15</v>
      </c>
      <c r="N14" s="44" t="s">
        <v>61</v>
      </c>
      <c r="O14" s="44"/>
      <c r="P14" s="44"/>
      <c r="Q14" s="44"/>
      <c r="R14" s="38"/>
    </row>
    <row r="15" customFormat="false" ht="13.8" hidden="false" customHeight="false" outlineLevel="0" collapsed="false">
      <c r="K15" s="34"/>
      <c r="L15" s="36"/>
      <c r="M15" s="36"/>
      <c r="N15" s="36"/>
      <c r="O15" s="36"/>
      <c r="P15" s="36"/>
      <c r="Q15" s="36"/>
      <c r="R15" s="38"/>
    </row>
    <row r="16" customFormat="false" ht="13.8" hidden="false" customHeight="false" outlineLevel="0" collapsed="false">
      <c r="B16" s="20" t="s">
        <v>319</v>
      </c>
      <c r="K16" s="34"/>
      <c r="L16" s="36"/>
      <c r="M16" s="36"/>
      <c r="N16" s="36"/>
      <c r="O16" s="36"/>
      <c r="P16" s="36"/>
      <c r="Q16" s="36"/>
      <c r="R16" s="38"/>
    </row>
    <row r="17" customFormat="false" ht="13.8" hidden="false" customHeight="false" outlineLevel="0" collapsed="false">
      <c r="B17" s="52"/>
      <c r="C17" s="53"/>
      <c r="D17" s="53"/>
      <c r="E17" s="53"/>
      <c r="F17" s="53"/>
      <c r="G17" s="54"/>
      <c r="H17" s="54"/>
      <c r="I17" s="55"/>
      <c r="K17" s="34"/>
      <c r="L17" s="37"/>
      <c r="M17" s="37"/>
      <c r="N17" s="37"/>
      <c r="O17" s="37"/>
      <c r="P17" s="37"/>
      <c r="Q17" s="37"/>
      <c r="R17" s="38"/>
    </row>
    <row r="18" customFormat="false" ht="13.8" hidden="false" customHeight="false" outlineLevel="0" collapsed="false">
      <c r="B18" s="56"/>
      <c r="C18" s="57" t="s">
        <v>320</v>
      </c>
      <c r="D18" s="58"/>
      <c r="E18" s="58"/>
      <c r="F18" s="58"/>
      <c r="G18" s="58"/>
      <c r="H18" s="59"/>
      <c r="I18" s="60"/>
      <c r="K18" s="34"/>
      <c r="L18" s="37"/>
      <c r="M18" s="37"/>
      <c r="N18" s="37"/>
      <c r="O18" s="37"/>
      <c r="P18" s="37"/>
      <c r="Q18" s="37"/>
      <c r="R18" s="38"/>
    </row>
    <row r="19" customFormat="false" ht="13.8" hidden="false" customHeight="false" outlineLevel="0" collapsed="false">
      <c r="B19" s="56"/>
      <c r="C19" s="44" t="s">
        <v>321</v>
      </c>
      <c r="D19" s="45" t="n">
        <v>4</v>
      </c>
      <c r="E19" s="44" t="s">
        <v>21</v>
      </c>
      <c r="F19" s="61" t="n">
        <f aca="false">D19*0.0254</f>
        <v>0.1016</v>
      </c>
      <c r="G19" s="44" t="s">
        <v>322</v>
      </c>
      <c r="H19" s="44"/>
      <c r="I19" s="60"/>
      <c r="K19" s="34"/>
      <c r="L19" s="37"/>
      <c r="M19" s="37"/>
      <c r="N19" s="37"/>
      <c r="O19" s="37"/>
      <c r="P19" s="37"/>
      <c r="Q19" s="37"/>
      <c r="R19" s="38"/>
    </row>
    <row r="20" customFormat="false" ht="13.8" hidden="false" customHeight="false" outlineLevel="0" collapsed="false">
      <c r="B20" s="56"/>
      <c r="C20" s="44" t="s">
        <v>323</v>
      </c>
      <c r="D20" s="45" t="n">
        <v>0.125</v>
      </c>
      <c r="E20" s="44" t="s">
        <v>21</v>
      </c>
      <c r="F20" s="61" t="n">
        <f aca="false">D20*0.0254</f>
        <v>0.003175</v>
      </c>
      <c r="G20" s="44" t="s">
        <v>322</v>
      </c>
      <c r="H20" s="44"/>
      <c r="I20" s="60"/>
      <c r="K20" s="34"/>
      <c r="L20" s="37"/>
      <c r="M20" s="37"/>
      <c r="N20" s="37"/>
      <c r="O20" s="37"/>
      <c r="P20" s="37"/>
      <c r="Q20" s="37"/>
      <c r="R20" s="38"/>
    </row>
    <row r="21" customFormat="false" ht="13.8" hidden="false" customHeight="false" outlineLevel="0" collapsed="false">
      <c r="B21" s="56"/>
      <c r="C21" s="44" t="s">
        <v>324</v>
      </c>
      <c r="D21" s="45" t="n">
        <v>36</v>
      </c>
      <c r="E21" s="44" t="s">
        <v>21</v>
      </c>
      <c r="F21" s="61" t="n">
        <f aca="false">D21*0.0254</f>
        <v>0.9144</v>
      </c>
      <c r="G21" s="44" t="s">
        <v>322</v>
      </c>
      <c r="H21" s="44"/>
      <c r="I21" s="60"/>
      <c r="K21" s="34"/>
      <c r="L21" s="37"/>
      <c r="M21" s="37"/>
      <c r="N21" s="37"/>
      <c r="O21" s="37"/>
      <c r="P21" s="37"/>
      <c r="Q21" s="37"/>
      <c r="R21" s="38"/>
    </row>
    <row r="22" customFormat="false" ht="13.8" hidden="false" customHeight="false" outlineLevel="0" collapsed="false">
      <c r="B22" s="56"/>
      <c r="C22" s="44" t="s">
        <v>325</v>
      </c>
      <c r="D22" s="45" t="n">
        <v>1.5</v>
      </c>
      <c r="E22" s="44" t="s">
        <v>21</v>
      </c>
      <c r="F22" s="61" t="n">
        <f aca="false">D22*0.0254</f>
        <v>0.0381</v>
      </c>
      <c r="G22" s="44" t="s">
        <v>322</v>
      </c>
      <c r="H22" s="44"/>
      <c r="I22" s="60"/>
      <c r="K22" s="34"/>
      <c r="L22" s="37"/>
      <c r="M22" s="37"/>
      <c r="N22" s="37"/>
      <c r="O22" s="37"/>
      <c r="P22" s="37"/>
      <c r="Q22" s="37"/>
      <c r="R22" s="38"/>
    </row>
    <row r="23" customFormat="false" ht="13.8" hidden="false" customHeight="false" outlineLevel="0" collapsed="false">
      <c r="B23" s="56"/>
      <c r="C23" s="48" t="s">
        <v>326</v>
      </c>
      <c r="D23" s="45" t="n">
        <v>3</v>
      </c>
      <c r="E23" s="44" t="s">
        <v>21</v>
      </c>
      <c r="F23" s="61" t="n">
        <f aca="false">D23*0.0254</f>
        <v>0.0762</v>
      </c>
      <c r="G23" s="44" t="s">
        <v>322</v>
      </c>
      <c r="H23" s="44"/>
      <c r="I23" s="60"/>
      <c r="K23" s="34"/>
      <c r="L23" s="37"/>
      <c r="M23" s="37"/>
      <c r="N23" s="37"/>
      <c r="O23" s="37"/>
      <c r="P23" s="37"/>
      <c r="Q23" s="37"/>
      <c r="R23" s="38"/>
    </row>
    <row r="24" customFormat="false" ht="13.8" hidden="false" customHeight="false" outlineLevel="0" collapsed="false">
      <c r="B24" s="56"/>
      <c r="C24" s="44" t="s">
        <v>327</v>
      </c>
      <c r="D24" s="45" t="n">
        <v>22.5</v>
      </c>
      <c r="E24" s="44" t="s">
        <v>21</v>
      </c>
      <c r="F24" s="61" t="n">
        <f aca="false">D24*0.0254</f>
        <v>0.5715</v>
      </c>
      <c r="G24" s="44" t="s">
        <v>322</v>
      </c>
      <c r="H24" s="44" t="s">
        <v>328</v>
      </c>
      <c r="I24" s="60"/>
      <c r="K24" s="34"/>
      <c r="L24" s="37"/>
      <c r="M24" s="37"/>
      <c r="N24" s="37"/>
      <c r="O24" s="37"/>
      <c r="P24" s="37"/>
      <c r="Q24" s="37"/>
      <c r="R24" s="38"/>
    </row>
    <row r="25" customFormat="false" ht="13.8" hidden="false" customHeight="false" outlineLevel="0" collapsed="false">
      <c r="B25" s="56"/>
      <c r="C25" s="44" t="s">
        <v>329</v>
      </c>
      <c r="D25" s="62" t="n">
        <f aca="false">F25/0.0254</f>
        <v>0.0393700787401575</v>
      </c>
      <c r="E25" s="44" t="s">
        <v>21</v>
      </c>
      <c r="F25" s="45" t="n">
        <v>0.001</v>
      </c>
      <c r="G25" s="44" t="s">
        <v>322</v>
      </c>
      <c r="H25" s="44"/>
      <c r="I25" s="60"/>
      <c r="K25" s="34"/>
      <c r="L25" s="37"/>
      <c r="M25" s="37"/>
      <c r="N25" s="37"/>
      <c r="O25" s="37"/>
      <c r="P25" s="37"/>
      <c r="Q25" s="37"/>
      <c r="R25" s="38"/>
    </row>
    <row r="26" customFormat="false" ht="13.8" hidden="false" customHeight="false" outlineLevel="0" collapsed="false">
      <c r="B26" s="56"/>
      <c r="C26" s="44" t="s">
        <v>330</v>
      </c>
      <c r="D26" s="44" t="n">
        <f aca="false">D24+D23-D22</f>
        <v>24</v>
      </c>
      <c r="E26" s="44" t="s">
        <v>21</v>
      </c>
      <c r="F26" s="61" t="n">
        <f aca="false">D26*0.0254</f>
        <v>0.6096</v>
      </c>
      <c r="G26" s="44" t="s">
        <v>322</v>
      </c>
      <c r="H26" s="44"/>
      <c r="I26" s="60"/>
      <c r="K26" s="34"/>
      <c r="L26" s="37"/>
      <c r="M26" s="37"/>
      <c r="N26" s="37"/>
      <c r="O26" s="37"/>
      <c r="P26" s="37"/>
      <c r="Q26" s="37"/>
      <c r="R26" s="38"/>
    </row>
    <row r="27" customFormat="false" ht="13.8" hidden="false" customHeight="false" outlineLevel="0" collapsed="false">
      <c r="B27" s="56"/>
      <c r="C27" s="44" t="s">
        <v>331</v>
      </c>
      <c r="D27" s="44" t="n">
        <f aca="false">D21-D22-D24-D23</f>
        <v>9</v>
      </c>
      <c r="E27" s="44" t="s">
        <v>21</v>
      </c>
      <c r="F27" s="61" t="n">
        <f aca="false">D27*0.0254</f>
        <v>0.2286</v>
      </c>
      <c r="G27" s="44" t="s">
        <v>322</v>
      </c>
      <c r="H27" s="44"/>
      <c r="I27" s="60"/>
      <c r="K27" s="34"/>
      <c r="L27" s="37"/>
      <c r="M27" s="37"/>
      <c r="N27" s="37"/>
      <c r="O27" s="37"/>
      <c r="P27" s="37"/>
      <c r="Q27" s="37"/>
      <c r="R27" s="38"/>
    </row>
    <row r="28" customFormat="false" ht="13.8" hidden="false" customHeight="false" outlineLevel="0" collapsed="false">
      <c r="B28" s="56"/>
      <c r="C28" s="59"/>
      <c r="D28" s="59"/>
      <c r="E28" s="59"/>
      <c r="F28" s="59"/>
      <c r="G28" s="59"/>
      <c r="H28" s="59"/>
      <c r="I28" s="60"/>
      <c r="K28" s="63"/>
      <c r="L28" s="64"/>
      <c r="M28" s="64"/>
      <c r="N28" s="64"/>
      <c r="O28" s="64"/>
      <c r="P28" s="64"/>
      <c r="Q28" s="64"/>
      <c r="R28" s="65"/>
    </row>
    <row r="29" customFormat="false" ht="13.8" hidden="false" customHeight="false" outlineLevel="0" collapsed="false">
      <c r="B29" s="56"/>
      <c r="C29" s="57" t="s">
        <v>332</v>
      </c>
      <c r="D29" s="58"/>
      <c r="E29" s="58"/>
      <c r="F29" s="58"/>
      <c r="G29" s="58"/>
      <c r="H29" s="59"/>
      <c r="I29" s="60"/>
    </row>
    <row r="30" customFormat="false" ht="13.8" hidden="false" customHeight="false" outlineLevel="0" collapsed="false">
      <c r="B30" s="56"/>
      <c r="C30" s="44" t="s">
        <v>333</v>
      </c>
      <c r="D30" s="45" t="n">
        <v>12</v>
      </c>
      <c r="E30" s="44" t="s">
        <v>21</v>
      </c>
      <c r="F30" s="61" t="n">
        <f aca="false">D30*0.0254</f>
        <v>0.3048</v>
      </c>
      <c r="G30" s="44" t="s">
        <v>322</v>
      </c>
      <c r="H30" s="44"/>
      <c r="I30" s="60"/>
    </row>
    <row r="31" customFormat="false" ht="13.8" hidden="false" customHeight="false" outlineLevel="0" collapsed="false">
      <c r="B31" s="56"/>
      <c r="C31" s="44" t="s">
        <v>334</v>
      </c>
      <c r="D31" s="45" t="n">
        <v>0.3125</v>
      </c>
      <c r="E31" s="44" t="s">
        <v>21</v>
      </c>
      <c r="F31" s="61" t="n">
        <f aca="false">D31*0.0254</f>
        <v>0.0079375</v>
      </c>
      <c r="G31" s="44" t="s">
        <v>322</v>
      </c>
      <c r="H31" s="44"/>
      <c r="I31" s="60"/>
    </row>
    <row r="32" customFormat="false" ht="13.8" hidden="false" customHeight="false" outlineLevel="0" collapsed="false">
      <c r="B32" s="56"/>
      <c r="C32" s="44" t="s">
        <v>335</v>
      </c>
      <c r="D32" s="66" t="n">
        <v>3.94E-006</v>
      </c>
      <c r="E32" s="44" t="s">
        <v>21</v>
      </c>
      <c r="F32" s="67" t="n">
        <f aca="false">D32*0.0254</f>
        <v>1.00076E-007</v>
      </c>
      <c r="G32" s="44" t="s">
        <v>322</v>
      </c>
      <c r="H32" s="44"/>
      <c r="I32" s="60"/>
    </row>
    <row r="33" customFormat="false" ht="13.8" hidden="false" customHeight="false" outlineLevel="0" collapsed="false">
      <c r="B33" s="56"/>
      <c r="C33" s="44" t="s">
        <v>336</v>
      </c>
      <c r="D33" s="45" t="n">
        <v>48</v>
      </c>
      <c r="E33" s="44" t="s">
        <v>21</v>
      </c>
      <c r="F33" s="68" t="n">
        <f aca="false">D33*0.0254</f>
        <v>1.2192</v>
      </c>
      <c r="G33" s="44" t="s">
        <v>322</v>
      </c>
      <c r="H33" s="44"/>
      <c r="I33" s="60"/>
    </row>
    <row r="34" customFormat="false" ht="13.8" hidden="false" customHeight="false" outlineLevel="0" collapsed="false">
      <c r="B34" s="56"/>
      <c r="C34" s="44" t="s">
        <v>337</v>
      </c>
      <c r="D34" s="45" t="n">
        <v>0.225</v>
      </c>
      <c r="E34" s="44" t="s">
        <v>21</v>
      </c>
      <c r="F34" s="61" t="n">
        <f aca="false">D34*0.0254</f>
        <v>0.005715</v>
      </c>
      <c r="G34" s="44" t="s">
        <v>322</v>
      </c>
      <c r="H34" s="44"/>
      <c r="I34" s="60"/>
    </row>
    <row r="35" customFormat="false" ht="13.8" hidden="false" customHeight="false" outlineLevel="0" collapsed="false">
      <c r="B35" s="56"/>
      <c r="C35" s="44" t="s">
        <v>338</v>
      </c>
      <c r="D35" s="66" t="n">
        <v>3.94E-006</v>
      </c>
      <c r="E35" s="44" t="s">
        <v>21</v>
      </c>
      <c r="F35" s="44" t="n">
        <f aca="false">D35*0.0254</f>
        <v>1.00076E-007</v>
      </c>
      <c r="G35" s="44" t="s">
        <v>322</v>
      </c>
      <c r="H35" s="44"/>
      <c r="I35" s="60"/>
    </row>
    <row r="36" customFormat="false" ht="13.8" hidden="false" customHeight="false" outlineLevel="0" collapsed="false">
      <c r="B36" s="56"/>
      <c r="C36" s="59"/>
      <c r="D36" s="59"/>
      <c r="E36" s="59"/>
      <c r="F36" s="59"/>
      <c r="G36" s="59"/>
      <c r="H36" s="59"/>
      <c r="I36" s="60"/>
    </row>
    <row r="37" customFormat="false" ht="13.8" hidden="false" customHeight="false" outlineLevel="0" collapsed="false">
      <c r="B37" s="56"/>
      <c r="C37" s="57" t="s">
        <v>339</v>
      </c>
      <c r="D37" s="58"/>
      <c r="E37" s="58"/>
      <c r="F37" s="58"/>
      <c r="G37" s="58"/>
      <c r="H37" s="59"/>
      <c r="I37" s="60"/>
    </row>
    <row r="38" customFormat="false" ht="13.8" hidden="false" customHeight="false" outlineLevel="0" collapsed="false">
      <c r="B38" s="56"/>
      <c r="C38" s="44" t="s">
        <v>340</v>
      </c>
      <c r="D38" s="45" t="n">
        <v>6</v>
      </c>
      <c r="E38" s="44"/>
      <c r="F38" s="61"/>
      <c r="G38" s="44"/>
      <c r="H38" s="44"/>
      <c r="I38" s="60"/>
    </row>
    <row r="39" customFormat="false" ht="13.8" hidden="false" customHeight="false" outlineLevel="0" collapsed="false">
      <c r="B39" s="56"/>
      <c r="C39" s="44" t="s">
        <v>341</v>
      </c>
      <c r="D39" s="45" t="n">
        <v>0.089</v>
      </c>
      <c r="E39" s="44" t="s">
        <v>21</v>
      </c>
      <c r="F39" s="61"/>
      <c r="G39" s="44"/>
      <c r="H39" s="44"/>
      <c r="I39" s="60"/>
    </row>
    <row r="40" customFormat="false" ht="13.8" hidden="false" customHeight="false" outlineLevel="0" collapsed="false">
      <c r="B40" s="56"/>
      <c r="C40" s="44" t="s">
        <v>342</v>
      </c>
      <c r="D40" s="45" t="n">
        <v>0.4</v>
      </c>
      <c r="E40" s="44"/>
      <c r="F40" s="44"/>
      <c r="G40" s="44"/>
      <c r="H40" s="44"/>
      <c r="I40" s="60"/>
    </row>
    <row r="41" customFormat="false" ht="13.8" hidden="false" customHeight="false" outlineLevel="0" collapsed="false">
      <c r="B41" s="56"/>
      <c r="C41" s="44" t="s">
        <v>343</v>
      </c>
      <c r="D41" s="45" t="n">
        <v>6</v>
      </c>
      <c r="E41" s="44"/>
      <c r="F41" s="44"/>
      <c r="G41" s="44"/>
      <c r="H41" s="44"/>
      <c r="I41" s="60"/>
    </row>
    <row r="42" customFormat="false" ht="13.8" hidden="false" customHeight="false" outlineLevel="0" collapsed="false">
      <c r="B42" s="56"/>
      <c r="C42" s="44" t="s">
        <v>344</v>
      </c>
      <c r="D42" s="45" t="n">
        <v>0.0469</v>
      </c>
      <c r="E42" s="44" t="s">
        <v>21</v>
      </c>
      <c r="F42" s="44"/>
      <c r="G42" s="44"/>
      <c r="H42" s="44"/>
      <c r="I42" s="60"/>
    </row>
    <row r="43" customFormat="false" ht="13.8" hidden="false" customHeight="false" outlineLevel="0" collapsed="false">
      <c r="B43" s="56"/>
      <c r="C43" s="44" t="s">
        <v>345</v>
      </c>
      <c r="D43" s="45" t="n">
        <v>0.55</v>
      </c>
      <c r="E43" s="44"/>
      <c r="F43" s="44"/>
      <c r="G43" s="44"/>
      <c r="H43" s="44"/>
      <c r="I43" s="60"/>
    </row>
    <row r="44" customFormat="false" ht="13.8" hidden="false" customHeight="false" outlineLevel="0" collapsed="false">
      <c r="B44" s="56"/>
      <c r="C44" s="59"/>
      <c r="D44" s="59"/>
      <c r="E44" s="59"/>
      <c r="F44" s="59"/>
      <c r="G44" s="59"/>
      <c r="H44" s="59"/>
      <c r="I44" s="60"/>
    </row>
    <row r="45" customFormat="false" ht="13.8" hidden="false" customHeight="false" outlineLevel="0" collapsed="false">
      <c r="B45" s="56"/>
      <c r="C45" s="57" t="s">
        <v>346</v>
      </c>
      <c r="D45" s="58"/>
      <c r="E45" s="58"/>
      <c r="F45" s="58"/>
      <c r="G45" s="58"/>
      <c r="H45" s="59"/>
      <c r="I45" s="60"/>
    </row>
    <row r="46" customFormat="false" ht="13.8" hidden="false" customHeight="false" outlineLevel="0" collapsed="false">
      <c r="B46" s="56"/>
      <c r="C46" s="44" t="s">
        <v>347</v>
      </c>
      <c r="D46" s="45" t="n">
        <v>2</v>
      </c>
      <c r="E46" s="44" t="s">
        <v>21</v>
      </c>
      <c r="F46" s="61" t="n">
        <f aca="false">D46*0.0254</f>
        <v>0.0508</v>
      </c>
      <c r="G46" s="44" t="s">
        <v>322</v>
      </c>
      <c r="H46" s="44"/>
      <c r="I46" s="60"/>
    </row>
    <row r="47" customFormat="false" ht="13.8" hidden="false" customHeight="false" outlineLevel="0" collapsed="false">
      <c r="B47" s="56"/>
      <c r="C47" s="44" t="s">
        <v>348</v>
      </c>
      <c r="D47" s="45" t="n">
        <v>0.25</v>
      </c>
      <c r="E47" s="44" t="s">
        <v>21</v>
      </c>
      <c r="F47" s="61" t="n">
        <f aca="false">D47*0.0254</f>
        <v>0.00635</v>
      </c>
      <c r="G47" s="44" t="s">
        <v>322</v>
      </c>
      <c r="H47" s="44"/>
      <c r="I47" s="60"/>
    </row>
    <row r="48" customFormat="false" ht="13.8" hidden="false" customHeight="false" outlineLevel="0" collapsed="false">
      <c r="B48" s="56"/>
      <c r="C48" s="44" t="s">
        <v>349</v>
      </c>
      <c r="D48" s="45" t="n">
        <v>5</v>
      </c>
      <c r="E48" s="44" t="s">
        <v>21</v>
      </c>
      <c r="F48" s="44" t="n">
        <f aca="false">D48*0.0254</f>
        <v>0.127</v>
      </c>
      <c r="G48" s="44" t="s">
        <v>322</v>
      </c>
      <c r="H48" s="44"/>
      <c r="I48" s="60"/>
    </row>
    <row r="49" customFormat="false" ht="13.8" hidden="false" customHeight="false" outlineLevel="0" collapsed="false">
      <c r="B49" s="56"/>
      <c r="C49" s="59"/>
      <c r="D49" s="59"/>
      <c r="E49" s="59"/>
      <c r="F49" s="59"/>
      <c r="G49" s="59"/>
      <c r="H49" s="59"/>
      <c r="I49" s="60"/>
    </row>
    <row r="50" customFormat="false" ht="13.8" hidden="false" customHeight="false" outlineLevel="0" collapsed="false">
      <c r="B50" s="56"/>
      <c r="C50" s="57" t="s">
        <v>350</v>
      </c>
      <c r="D50" s="58"/>
      <c r="E50" s="58"/>
      <c r="F50" s="58"/>
      <c r="G50" s="58"/>
      <c r="H50" s="59"/>
      <c r="I50" s="60"/>
    </row>
    <row r="51" customFormat="false" ht="13.8" hidden="false" customHeight="false" outlineLevel="0" collapsed="false">
      <c r="B51" s="56"/>
      <c r="C51" s="44" t="s">
        <v>351</v>
      </c>
      <c r="D51" s="45" t="n">
        <v>1</v>
      </c>
      <c r="E51" s="44" t="s">
        <v>21</v>
      </c>
      <c r="F51" s="61" t="n">
        <f aca="false">D51*0.0254</f>
        <v>0.0254</v>
      </c>
      <c r="G51" s="44" t="s">
        <v>322</v>
      </c>
      <c r="H51" s="44"/>
      <c r="I51" s="60"/>
    </row>
    <row r="52" customFormat="false" ht="13.8" hidden="false" customHeight="false" outlineLevel="0" collapsed="false">
      <c r="B52" s="56"/>
      <c r="C52" s="44" t="s">
        <v>352</v>
      </c>
      <c r="D52" s="45" t="n">
        <v>2</v>
      </c>
      <c r="E52" s="44" t="s">
        <v>21</v>
      </c>
      <c r="F52" s="61" t="n">
        <f aca="false">D52*0.0254</f>
        <v>0.0508</v>
      </c>
      <c r="G52" s="44" t="s">
        <v>322</v>
      </c>
      <c r="H52" s="44"/>
      <c r="I52" s="60"/>
    </row>
    <row r="53" customFormat="false" ht="13.8" hidden="false" customHeight="false" outlineLevel="0" collapsed="false">
      <c r="B53" s="56"/>
      <c r="C53" s="44" t="s">
        <v>353</v>
      </c>
      <c r="D53" s="45" t="n">
        <v>15</v>
      </c>
      <c r="E53" s="44" t="s">
        <v>354</v>
      </c>
      <c r="F53" s="44"/>
      <c r="G53" s="44"/>
      <c r="H53" s="44"/>
      <c r="I53" s="60"/>
    </row>
    <row r="54" customFormat="false" ht="13.8" hidden="false" customHeight="false" outlineLevel="0" collapsed="false">
      <c r="B54" s="56"/>
      <c r="C54" s="59"/>
      <c r="D54" s="59"/>
      <c r="E54" s="59"/>
      <c r="F54" s="59"/>
      <c r="G54" s="59"/>
      <c r="H54" s="59"/>
      <c r="I54" s="60"/>
    </row>
    <row r="55" customFormat="false" ht="13.8" hidden="false" customHeight="false" outlineLevel="0" collapsed="false">
      <c r="B55" s="56"/>
      <c r="C55" s="59"/>
      <c r="D55" s="59"/>
      <c r="E55" s="59"/>
      <c r="F55" s="59"/>
      <c r="G55" s="59"/>
      <c r="H55" s="59"/>
      <c r="I55" s="60"/>
    </row>
    <row r="56" customFormat="false" ht="13.8" hidden="false" customHeight="false" outlineLevel="0" collapsed="false">
      <c r="B56" s="56"/>
      <c r="C56" s="59"/>
      <c r="D56" s="59"/>
      <c r="E56" s="59"/>
      <c r="F56" s="59"/>
      <c r="G56" s="59"/>
      <c r="H56" s="59"/>
      <c r="I56" s="60"/>
    </row>
    <row r="57" customFormat="false" ht="13.8" hidden="false" customHeight="false" outlineLevel="0" collapsed="false">
      <c r="B57" s="69"/>
      <c r="C57" s="70"/>
      <c r="D57" s="70"/>
      <c r="E57" s="70"/>
      <c r="F57" s="70"/>
      <c r="G57" s="70"/>
      <c r="H57" s="70"/>
      <c r="I57" s="71"/>
    </row>
  </sheetData>
  <mergeCells count="16">
    <mergeCell ref="C3:D3"/>
    <mergeCell ref="E3:F3"/>
    <mergeCell ref="L3:M3"/>
    <mergeCell ref="N3:O3"/>
    <mergeCell ref="D4:E4"/>
    <mergeCell ref="F4:G4"/>
    <mergeCell ref="D5:E5"/>
    <mergeCell ref="F5:G5"/>
    <mergeCell ref="M5:N5"/>
    <mergeCell ref="O5:P5"/>
    <mergeCell ref="D6:E6"/>
    <mergeCell ref="F6:G6"/>
    <mergeCell ref="D9:E9"/>
    <mergeCell ref="F9:G9"/>
    <mergeCell ref="C17:D17"/>
    <mergeCell ref="E17:F17"/>
  </mergeCells>
  <dataValidations count="1">
    <dataValidation allowBlank="false" errorStyle="stop" operator="between" showDropDown="false" showErrorMessage="false" showInputMessage="false" sqref="F6" type="list">
      <formula1>"Isopropanol,Ethanol,E98,E85"</formula1>
      <formula2>0</formula2>
    </dataValidation>
  </dataValidations>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Roman"&amp;12&amp;Kffffff&amp;A</oddHeader>
    <oddFooter>&amp;C&amp;"Times New Roman"&amp;12&amp;KffffffPage &amp;P</oddFooter>
  </headerFooter>
</worksheet>
</file>

<file path=docProps/app.xml><?xml version="1.0" encoding="utf-8"?>
<Properties xmlns="http://schemas.openxmlformats.org/officeDocument/2006/extended-properties" xmlns:vt="http://schemas.openxmlformats.org/officeDocument/2006/docPropsVTypes">
  <Template/>
  <TotalTime>15</TotalTime>
  <Application>LibreOffice/26.8.1.1$Windows_X86_64 LibreOffice_project/bf6ef2662401c7d6dce671ab4deb26ee0af3a7c1</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2026-10-10T03:28:03Z</dcterms:created>
  <dc:creator>openpyxl</dc:creator>
  <dc:description/>
  <dc:language>en-US</dc:language>
  <cp:lastModifiedBy/>
  <dcterms:modified xsi:type="dcterms:W3CDTF">2026-10-10T13:38:17Z</dcterms:modified>
  <cp:revision>5</cp:revision>
  <dc:subject/>
  <dc:title/>
</cp:coreProperties>
</file>

<file path=docProps/custom.xml><?xml version="1.0" encoding="utf-8"?>
<Properties xmlns="http://schemas.openxmlformats.org/officeDocument/2006/custom-properties" xmlns:vt="http://schemas.openxmlformats.org/officeDocument/2006/docPropsVTypes"/>
</file>