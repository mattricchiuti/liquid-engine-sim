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" sheetId="1" state="visible" r:id="rId3"/>
    <sheet name="lis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<sst xmlns="http://schemas.openxmlformats.org/spreadsheetml/2006/main" count="165" uniqueCount="93">
  <si>
    <t xml:space="preserve">Nitrous Tank </t>
  </si>
  <si>
    <t xml:space="preserve">notes</t>
  </si>
  <si>
    <t xml:space="preserve">Fuel Tank</t>
  </si>
  <si>
    <t xml:space="preserve">Nitrous Length</t>
  </si>
  <si>
    <t xml:space="preserve">in</t>
  </si>
  <si>
    <t xml:space="preserve">Fuel Length</t>
  </si>
  <si>
    <t xml:space="preserve">Nitrous Injector</t>
  </si>
  <si>
    <t xml:space="preserve">Fuel Injector</t>
  </si>
  <si>
    <t xml:space="preserve">Nitrous Cd</t>
  </si>
  <si>
    <t xml:space="preserve">Fuel Cd</t>
  </si>
  <si>
    <t xml:space="preserve">No. Nitrous Holes</t>
  </si>
  <si>
    <t xml:space="preserve">No. Fuel Holes</t>
  </si>
  <si>
    <t xml:space="preserve">Nitrous Hole Diameter</t>
  </si>
  <si>
    <t xml:space="preserve">Fuel Hole Diameter</t>
  </si>
  <si>
    <t xml:space="preserve">Nitrous Injector Area</t>
  </si>
  <si>
    <t xml:space="preserve">in2</t>
  </si>
  <si>
    <t xml:space="preserve">Fuel Injector Area</t>
  </si>
  <si>
    <t xml:space="preserve">Nitrous Feed DP</t>
  </si>
  <si>
    <t xml:space="preserve">Fuel Feed DP</t>
  </si>
  <si>
    <t xml:space="preserve">Nitrous Line Length</t>
  </si>
  <si>
    <t xml:space="preserve">Fuel Line Length</t>
  </si>
  <si>
    <t xml:space="preserve">Nitrous Line Diameter</t>
  </si>
  <si>
    <t xml:space="preserve">Fuel Line Diameter</t>
  </si>
  <si>
    <t xml:space="preserve">Nitrous Line Roughness</t>
  </si>
  <si>
    <t xml:space="preserve">Fuel Line Roughness</t>
  </si>
  <si>
    <t xml:space="preserve">Nitrous Entrance K-factor</t>
  </si>
  <si>
    <t xml:space="preserve">Fuel Entrance K-factor</t>
  </si>
  <si>
    <t xml:space="preserve">Nitrous Ball Valve Cv</t>
  </si>
  <si>
    <t xml:space="preserve">Fuel Ball Valve Cv</t>
  </si>
  <si>
    <t xml:space="preserve">SIMULATION SETUP</t>
  </si>
  <si>
    <t xml:space="preserve">Nitrous No. Elbows</t>
  </si>
  <si>
    <t xml:space="preserve">Fuel No. Elbows</t>
  </si>
  <si>
    <t xml:space="preserve">Nitrous Elbow K-factor</t>
  </si>
  <si>
    <t xml:space="preserve">Fuel Elbow K-factor</t>
  </si>
  <si>
    <t xml:space="preserve">Sweep Setup</t>
  </si>
  <si>
    <t xml:space="preserve">Fuel Piston Loss</t>
  </si>
  <si>
    <t xml:space="preserve">psi</t>
  </si>
  <si>
    <t xml:space="preserve">Parameter</t>
  </si>
  <si>
    <t xml:space="preserve">min</t>
  </si>
  <si>
    <t xml:space="preserve">max</t>
  </si>
  <si>
    <t xml:space="preserve">step</t>
  </si>
  <si>
    <t xml:space="preserve">0/1</t>
  </si>
  <si>
    <t xml:space="preserve">grid size</t>
  </si>
  <si>
    <t xml:space="preserve">Exit Diameter</t>
  </si>
  <si>
    <t xml:space="preserve">Throat Diameter</t>
  </si>
  <si>
    <t xml:space="preserve">Tank</t>
  </si>
  <si>
    <t xml:space="preserve">Tank OD</t>
  </si>
  <si>
    <t xml:space="preserve">Ambient Conditions</t>
  </si>
  <si>
    <t xml:space="preserve">imperial</t>
  </si>
  <si>
    <t xml:space="preserve">metric</t>
  </si>
  <si>
    <t xml:space="preserve">Tank Wall Thickness</t>
  </si>
  <si>
    <t xml:space="preserve">Timestep</t>
  </si>
  <si>
    <t xml:space="preserve">s</t>
  </si>
  <si>
    <t xml:space="preserve">Bulkhead Insertion Length</t>
  </si>
  <si>
    <t xml:space="preserve">Sim Max Duration</t>
  </si>
  <si>
    <t xml:space="preserve">Piston Length</t>
  </si>
  <si>
    <t xml:space="preserve">Nitrous Temperature</t>
  </si>
  <si>
    <t xml:space="preserve">F</t>
  </si>
  <si>
    <t xml:space="preserve">C</t>
  </si>
  <si>
    <t xml:space="preserve">10 F less than ambient</t>
  </si>
  <si>
    <t xml:space="preserve">Static Vent Diameter</t>
  </si>
  <si>
    <t xml:space="preserve">Ambient Pressure</t>
  </si>
  <si>
    <t xml:space="preserve">Pa</t>
  </si>
  <si>
    <t xml:space="preserve">Ambient at FAR</t>
  </si>
  <si>
    <t xml:space="preserve">Tank Length</t>
  </si>
  <si>
    <t xml:space="preserve">Tank Ratio</t>
  </si>
  <si>
    <t xml:space="preserve">Vox/Vfuel, 2.15</t>
  </si>
  <si>
    <t xml:space="preserve">Propellant Properties</t>
  </si>
  <si>
    <t xml:space="preserve">Static Vent Position</t>
  </si>
  <si>
    <t xml:space="preserve">Measured from tank aft</t>
  </si>
  <si>
    <t xml:space="preserve">Fuel Selection</t>
  </si>
  <si>
    <t xml:space="preserve">Isopropanol</t>
  </si>
  <si>
    <t xml:space="preserve">             </t>
  </si>
  <si>
    <t xml:space="preserve">Fuel Density</t>
  </si>
  <si>
    <t xml:space="preserve">kg/m3</t>
  </si>
  <si>
    <t xml:space="preserve">Chamber </t>
  </si>
  <si>
    <t xml:space="preserve">Fuel Dynamic Viscosity</t>
  </si>
  <si>
    <t xml:space="preserve">cP</t>
  </si>
  <si>
    <t xml:space="preserve">Chamber ID</t>
  </si>
  <si>
    <t xml:space="preserve">Nitrous Dynamic Viscosity</t>
  </si>
  <si>
    <t xml:space="preserve">N20 @50F</t>
  </si>
  <si>
    <t xml:space="preserve">Chamber Wall Thickness</t>
  </si>
  <si>
    <t xml:space="preserve">Chamber Length</t>
  </si>
  <si>
    <t xml:space="preserve">Efficiencies and Blowdown Model</t>
  </si>
  <si>
    <t xml:space="preserve">C* Efficiency</t>
  </si>
  <si>
    <t xml:space="preserve">Nozzle</t>
  </si>
  <si>
    <t xml:space="preserve">Nozzle Efficiency</t>
  </si>
  <si>
    <t xml:space="preserve">Decay Constant (liquid)</t>
  </si>
  <si>
    <t xml:space="preserve">Decay Constant (vapor)</t>
  </si>
  <si>
    <t xml:space="preserve">1/s</t>
  </si>
  <si>
    <t xml:space="preserve">Exit Half Angle</t>
  </si>
  <si>
    <t xml:space="preserve">deg</t>
  </si>
  <si>
    <t xml:space="preserve">Sweepable parameters (dropdown source for the sweep block)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</si>
</sst>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00"/>
    <numFmt numFmtId="166" formatCode="0.00E+00"/>
    <numFmt numFmtId="167" formatCode="0.000"/>
    <numFmt numFmtId="168" formatCode="0.0"/>
    <numFmt numFmtId="169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i val="true"/>
      <sz val="11"/>
      <color rgb="FFFFFFFF"/>
      <name val="Calibri"/>
      <family val="2"/>
      <charset val="1"/>
    </font>
    <font>
      <sz val="11"/>
      <color rgb="FFFFFFFF"/>
      <name val="Bahnschrift SemiBold"/>
      <family val="2"/>
      <charset val="1"/>
    </font>
    <font>
      <b val="true"/>
      <sz val="11"/>
      <color rgb="FF000000"/>
      <name val="Calibri"/>
      <family val="2"/>
      <charset val="1"/>
    </font>
    <font>
      <i val="true"/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A3CFFF"/>
        <bgColor rgb="FFCCCCFF"/>
      </patternFill>
    </fill>
    <fill>
      <patternFill patternType="solid">
        <fgColor rgb="FF2F92FF"/>
        <bgColor rgb="FF0066CC"/>
      </patternFill>
    </fill>
    <fill>
      <patternFill patternType="solid">
        <fgColor rgb="FFFF4056"/>
        <bgColor rgb="FFFF8080"/>
      </patternFill>
    </fill>
    <fill>
      <patternFill patternType="solid">
        <fgColor rgb="FFCCCCCC"/>
        <bgColor rgb="FFCCCCFF"/>
      </patternFill>
    </fill>
    <fill>
      <patternFill patternType="solid">
        <fgColor rgb="FFFFFFFF"/>
        <bgColor rgb="FFFFFFCC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3CFFF"/>
      <rgbColor rgb="FFFF99CC"/>
      <rgbColor rgb="FFCC99FF"/>
      <rgbColor rgb="FFFFCC99"/>
      <rgbColor rgb="FF2F92FF"/>
      <rgbColor rgb="FF33CCCC"/>
      <rgbColor rgb="FF99CC00"/>
      <rgbColor rgb="FFFFCC00"/>
      <rgbColor rgb="FFFF9900"/>
      <rgbColor rgb="FFFF4056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G1048576"/>
  <sheetViews>
    <sheetView showFormulas="false" showGridLines="false" showRowColHeaders="true" showZeros="true" rightToLeft="false" tabSelected="true" showOutlineSymbols="true" defaultGridColor="true" view="normal" topLeftCell="A13" colorId="64" zoomScale="160" zoomScaleNormal="160" zoomScalePageLayoutView="100" workbookViewId="0">
      <selection pane="topLeft" activeCell="H27" activeCellId="0" sqref="H27"/>
    </sheetView>
  </sheetViews>
  <sheetFormatPr defaultColWidth="11.53515625" defaultRowHeight="15.85" customHeight="true" zeroHeight="false" outlineLevelRow="0" outlineLevelCol="0"/>
  <cols>
    <col collapsed="false" customWidth="true" hidden="false" outlineLevel="0" max="2" min="1" style="1" width="3.24"/>
    <col collapsed="false" customWidth="true" hidden="false" outlineLevel="0" max="3" min="3" style="1" width="23.41"/>
    <col collapsed="false" customWidth="true" hidden="false" outlineLevel="0" max="4" min="4" style="1" width="7.18"/>
    <col collapsed="false" customWidth="true" hidden="false" outlineLevel="0" max="5" min="5" style="1" width="6.84"/>
    <col collapsed="false" customWidth="false" hidden="false" outlineLevel="0" max="6" min="6" style="1" width="11.53"/>
    <col collapsed="false" customWidth="true" hidden="false" outlineLevel="0" max="7" min="7" style="1" width="6.6"/>
    <col collapsed="false" customWidth="true" hidden="false" outlineLevel="0" max="8" min="8" style="1" width="20.17"/>
    <col collapsed="false" customWidth="true" hidden="false" outlineLevel="0" max="11" min="9" style="1" width="3.24"/>
    <col collapsed="false" customWidth="true" hidden="false" outlineLevel="0" max="12" min="12" style="1" width="22.95"/>
    <col collapsed="false" customWidth="true" hidden="false" outlineLevel="0" max="13" min="13" style="1" width="9.85"/>
    <col collapsed="false" customWidth="true" hidden="false" outlineLevel="0" max="14" min="14" style="1" width="5.21"/>
    <col collapsed="false" customWidth="true" hidden="false" outlineLevel="0" max="15" min="15" style="1" width="19.46"/>
    <col collapsed="false" customWidth="true" hidden="false" outlineLevel="0" max="18" min="16" style="1" width="3.24"/>
    <col collapsed="false" customWidth="true" hidden="false" outlineLevel="0" max="19" min="19" style="1" width="18.55"/>
    <col collapsed="false" customWidth="true" hidden="false" outlineLevel="0" max="20" min="20" style="1" width="10.2"/>
    <col collapsed="false" customWidth="true" hidden="false" outlineLevel="0" max="21" min="21" style="1" width="5.44"/>
    <col collapsed="false" customWidth="true" hidden="false" outlineLevel="0" max="22" min="22" style="1" width="19.46"/>
    <col collapsed="false" customWidth="true" hidden="false" outlineLevel="0" max="25" min="23" style="1" width="3.24"/>
    <col collapsed="false" customWidth="true" hidden="false" outlineLevel="0" max="26" min="26" style="1" width="23.07"/>
    <col collapsed="false" customWidth="false" hidden="false" outlineLevel="0" max="27" min="27" style="1" width="11.53"/>
    <col collapsed="false" customWidth="true" hidden="false" outlineLevel="0" max="28" min="28" style="1" width="5.21"/>
    <col collapsed="false" customWidth="false" hidden="false" outlineLevel="0" max="30" min="29" style="1" width="11.53"/>
    <col collapsed="false" customWidth="true" hidden="false" outlineLevel="0" max="31" min="31" style="1" width="23.18"/>
    <col collapsed="false" customWidth="true" hidden="false" outlineLevel="0" max="34" min="32" style="1" width="3.24"/>
    <col collapsed="false" customWidth="false" hidden="false" outlineLevel="0" max="16384" min="35" style="1" width="11.53"/>
  </cols>
  <sheetData>
    <row r="2" customFormat="false" ht="15.85" hidden="false" customHeight="true" outlineLevel="0" collapsed="false">
      <c r="B2" s="2"/>
      <c r="C2" s="2"/>
      <c r="D2" s="2"/>
      <c r="E2" s="2"/>
      <c r="F2" s="2"/>
      <c r="G2" s="2"/>
      <c r="H2" s="2"/>
      <c r="I2" s="2"/>
      <c r="Q2" s="3"/>
      <c r="R2" s="3"/>
      <c r="S2" s="3"/>
      <c r="T2" s="3"/>
      <c r="U2" s="3"/>
      <c r="V2" s="3"/>
      <c r="W2" s="3"/>
      <c r="X2" s="3"/>
      <c r="Y2" s="4"/>
      <c r="Z2" s="2"/>
      <c r="AA2" s="2"/>
      <c r="AB2" s="2"/>
      <c r="AC2" s="2"/>
      <c r="AD2" s="2"/>
      <c r="AE2" s="2"/>
      <c r="AF2" s="2"/>
      <c r="AG2" s="2"/>
    </row>
    <row r="3" customFormat="false" ht="15.85" hidden="false" customHeight="true" outlineLevel="0" collapsed="false">
      <c r="B3" s="5"/>
      <c r="C3" s="6"/>
      <c r="D3" s="6"/>
      <c r="E3" s="6"/>
      <c r="F3" s="6"/>
      <c r="G3" s="6"/>
      <c r="H3" s="6"/>
      <c r="I3" s="7"/>
      <c r="K3" s="8"/>
      <c r="L3" s="9"/>
      <c r="M3" s="9"/>
      <c r="N3" s="9"/>
      <c r="O3" s="9"/>
      <c r="P3" s="10"/>
      <c r="Q3" s="4"/>
      <c r="R3" s="11"/>
      <c r="S3" s="12"/>
      <c r="T3" s="12"/>
      <c r="U3" s="12"/>
      <c r="V3" s="12"/>
      <c r="W3" s="13"/>
      <c r="X3" s="3"/>
      <c r="Y3" s="4"/>
      <c r="Z3" s="2"/>
      <c r="AA3" s="2"/>
      <c r="AB3" s="2"/>
      <c r="AC3" s="2"/>
      <c r="AD3" s="2"/>
      <c r="AE3" s="2"/>
      <c r="AF3" s="2"/>
      <c r="AG3" s="2"/>
    </row>
    <row r="4" customFormat="false" ht="15.85" hidden="false" customHeight="true" outlineLevel="0" collapsed="false">
      <c r="B4" s="14"/>
      <c r="C4" s="15"/>
      <c r="D4" s="15"/>
      <c r="E4" s="15"/>
      <c r="F4" s="15"/>
      <c r="G4" s="15"/>
      <c r="H4" s="15"/>
      <c r="I4" s="16"/>
      <c r="K4" s="17"/>
      <c r="L4" s="18" t="s">
        <v>0</v>
      </c>
      <c r="M4" s="19"/>
      <c r="N4" s="19"/>
      <c r="O4" s="20" t="s">
        <v>1</v>
      </c>
      <c r="P4" s="21"/>
      <c r="Q4" s="3"/>
      <c r="R4" s="22"/>
      <c r="S4" s="23" t="s">
        <v>2</v>
      </c>
      <c r="T4" s="24"/>
      <c r="U4" s="24"/>
      <c r="V4" s="25" t="s">
        <v>1</v>
      </c>
      <c r="W4" s="26"/>
      <c r="X4" s="3"/>
      <c r="Y4" s="4"/>
      <c r="Z4" s="2"/>
      <c r="AA4" s="2"/>
      <c r="AB4" s="2"/>
      <c r="AC4" s="2"/>
      <c r="AD4" s="2"/>
      <c r="AE4" s="2"/>
      <c r="AF4" s="2"/>
      <c r="AG4" s="2"/>
    </row>
    <row r="5" customFormat="false" ht="15.85" hidden="false" customHeight="true" outlineLevel="0" collapsed="false">
      <c r="B5" s="14"/>
      <c r="C5" s="15"/>
      <c r="D5" s="15"/>
      <c r="E5" s="15"/>
      <c r="F5" s="15"/>
      <c r="G5" s="15"/>
      <c r="H5" s="15"/>
      <c r="I5" s="16"/>
      <c r="K5" s="17"/>
      <c r="L5" s="27" t="s">
        <v>3</v>
      </c>
      <c r="M5" s="27" t="n">
        <v>14.25</v>
      </c>
      <c r="N5" s="27" t="s">
        <v>4</v>
      </c>
      <c r="O5" s="27"/>
      <c r="P5" s="21"/>
      <c r="Q5" s="3"/>
      <c r="R5" s="22"/>
      <c r="S5" s="27" t="s">
        <v>5</v>
      </c>
      <c r="T5" s="27" t="n">
        <v>6.75</v>
      </c>
      <c r="U5" s="27" t="s">
        <v>4</v>
      </c>
      <c r="V5" s="27"/>
      <c r="W5" s="26"/>
      <c r="X5" s="3"/>
      <c r="Y5" s="4"/>
      <c r="Z5" s="2"/>
      <c r="AA5" s="2"/>
      <c r="AB5" s="2"/>
      <c r="AC5" s="2"/>
      <c r="AD5" s="2"/>
      <c r="AE5" s="2"/>
      <c r="AF5" s="2"/>
      <c r="AG5" s="2"/>
    </row>
    <row r="6" customFormat="false" ht="15.85" hidden="false" customHeight="true" outlineLevel="0" collapsed="false">
      <c r="B6" s="14"/>
      <c r="C6" s="15"/>
      <c r="D6" s="15"/>
      <c r="E6" s="15"/>
      <c r="F6" s="15"/>
      <c r="G6" s="15"/>
      <c r="H6" s="15"/>
      <c r="I6" s="16"/>
      <c r="K6" s="17"/>
      <c r="L6" s="19"/>
      <c r="M6" s="19"/>
      <c r="N6" s="19"/>
      <c r="O6" s="19"/>
      <c r="P6" s="21"/>
      <c r="Q6" s="3"/>
      <c r="R6" s="22"/>
      <c r="S6" s="24"/>
      <c r="T6" s="24"/>
      <c r="U6" s="24"/>
      <c r="V6" s="24"/>
      <c r="W6" s="26"/>
      <c r="X6" s="3"/>
      <c r="Y6" s="4"/>
      <c r="Z6" s="2"/>
      <c r="AA6" s="2"/>
      <c r="AB6" s="2"/>
      <c r="AC6" s="2"/>
      <c r="AD6" s="2"/>
      <c r="AE6" s="2"/>
      <c r="AF6" s="2"/>
      <c r="AG6" s="2"/>
    </row>
    <row r="7" customFormat="false" ht="15.85" hidden="false" customHeight="true" outlineLevel="0" collapsed="false">
      <c r="B7" s="14"/>
      <c r="C7" s="15"/>
      <c r="D7" s="15"/>
      <c r="E7" s="15"/>
      <c r="F7" s="15"/>
      <c r="G7" s="15"/>
      <c r="H7" s="15"/>
      <c r="I7" s="16"/>
      <c r="K7" s="17"/>
      <c r="L7" s="18" t="s">
        <v>6</v>
      </c>
      <c r="M7" s="19"/>
      <c r="N7" s="19"/>
      <c r="O7" s="19"/>
      <c r="P7" s="21"/>
      <c r="Q7" s="3"/>
      <c r="R7" s="22"/>
      <c r="S7" s="23" t="s">
        <v>7</v>
      </c>
      <c r="T7" s="24"/>
      <c r="U7" s="24"/>
      <c r="V7" s="24"/>
      <c r="W7" s="26"/>
      <c r="X7" s="3"/>
      <c r="Y7" s="4"/>
      <c r="Z7" s="2"/>
      <c r="AA7" s="2"/>
      <c r="AB7" s="2"/>
      <c r="AC7" s="2"/>
      <c r="AD7" s="2"/>
      <c r="AE7" s="2"/>
      <c r="AF7" s="2"/>
      <c r="AG7" s="2"/>
    </row>
    <row r="8" customFormat="false" ht="15.85" hidden="false" customHeight="true" outlineLevel="0" collapsed="false">
      <c r="B8" s="14"/>
      <c r="C8" s="15"/>
      <c r="D8" s="15"/>
      <c r="E8" s="15"/>
      <c r="F8" s="15"/>
      <c r="G8" s="15"/>
      <c r="H8" s="15"/>
      <c r="I8" s="16"/>
      <c r="K8" s="17"/>
      <c r="L8" s="27" t="s">
        <v>8</v>
      </c>
      <c r="M8" s="27" t="n">
        <v>0.6</v>
      </c>
      <c r="N8" s="27"/>
      <c r="O8" s="27"/>
      <c r="P8" s="21"/>
      <c r="Q8" s="4"/>
      <c r="R8" s="22"/>
      <c r="S8" s="27" t="s">
        <v>9</v>
      </c>
      <c r="T8" s="27" t="n">
        <v>0.55</v>
      </c>
      <c r="U8" s="27"/>
      <c r="V8" s="27"/>
      <c r="W8" s="26"/>
      <c r="X8" s="3"/>
      <c r="Y8" s="4"/>
      <c r="Z8" s="2"/>
      <c r="AA8" s="2"/>
      <c r="AB8" s="2"/>
      <c r="AC8" s="2"/>
      <c r="AD8" s="2"/>
      <c r="AE8" s="2"/>
      <c r="AF8" s="2"/>
      <c r="AG8" s="2"/>
    </row>
    <row r="9" customFormat="false" ht="15.85" hidden="false" customHeight="true" outlineLevel="0" collapsed="false">
      <c r="B9" s="14"/>
      <c r="C9" s="28"/>
      <c r="D9" s="28"/>
      <c r="E9" s="28"/>
      <c r="F9" s="28"/>
      <c r="G9" s="28"/>
      <c r="H9" s="28"/>
      <c r="I9" s="16"/>
      <c r="K9" s="17"/>
      <c r="L9" s="27" t="s">
        <v>10</v>
      </c>
      <c r="M9" s="27" t="n">
        <v>4</v>
      </c>
      <c r="N9" s="27"/>
      <c r="O9" s="27"/>
      <c r="P9" s="21"/>
      <c r="Q9" s="4"/>
      <c r="R9" s="22"/>
      <c r="S9" s="27" t="s">
        <v>11</v>
      </c>
      <c r="T9" s="27" t="n">
        <v>4</v>
      </c>
      <c r="U9" s="27"/>
      <c r="V9" s="27"/>
      <c r="W9" s="26"/>
      <c r="X9" s="3"/>
      <c r="Y9" s="4"/>
      <c r="Z9" s="2"/>
      <c r="AA9" s="2"/>
      <c r="AB9" s="2"/>
      <c r="AC9" s="2"/>
      <c r="AD9" s="2"/>
      <c r="AE9" s="2"/>
      <c r="AF9" s="2"/>
      <c r="AG9" s="2"/>
    </row>
    <row r="10" customFormat="false" ht="15.85" hidden="false" customHeight="true" outlineLevel="0" collapsed="false">
      <c r="B10" s="14"/>
      <c r="C10" s="28"/>
      <c r="D10" s="28"/>
      <c r="E10" s="28"/>
      <c r="F10" s="28"/>
      <c r="G10" s="28"/>
      <c r="H10" s="28"/>
      <c r="I10" s="16"/>
      <c r="K10" s="17"/>
      <c r="L10" s="27" t="s">
        <v>12</v>
      </c>
      <c r="M10" s="27" t="n">
        <v>0.089</v>
      </c>
      <c r="N10" s="27" t="s">
        <v>4</v>
      </c>
      <c r="O10" s="27"/>
      <c r="P10" s="21"/>
      <c r="Q10" s="4"/>
      <c r="R10" s="22"/>
      <c r="S10" s="27" t="s">
        <v>13</v>
      </c>
      <c r="T10" s="27" t="n">
        <v>0.05</v>
      </c>
      <c r="U10" s="27" t="s">
        <v>4</v>
      </c>
      <c r="V10" s="27"/>
      <c r="W10" s="26"/>
      <c r="X10" s="3"/>
      <c r="Y10" s="4"/>
      <c r="Z10" s="2"/>
      <c r="AA10" s="2"/>
      <c r="AB10" s="2"/>
      <c r="AC10" s="2"/>
      <c r="AD10" s="2"/>
      <c r="AE10" s="2"/>
      <c r="AF10" s="2"/>
      <c r="AG10" s="2"/>
    </row>
    <row r="11" customFormat="false" ht="15.85" hidden="false" customHeight="true" outlineLevel="0" collapsed="false">
      <c r="B11" s="14"/>
      <c r="C11" s="28"/>
      <c r="D11" s="28"/>
      <c r="E11" s="28"/>
      <c r="F11" s="28"/>
      <c r="G11" s="28"/>
      <c r="H11" s="28"/>
      <c r="I11" s="16"/>
      <c r="K11" s="17"/>
      <c r="L11" s="29" t="s">
        <v>14</v>
      </c>
      <c r="M11" s="30" t="n">
        <f aca="false">PI()/4*M10^2*M9</f>
        <v>0.0248845554090847</v>
      </c>
      <c r="N11" s="29" t="s">
        <v>15</v>
      </c>
      <c r="O11" s="29"/>
      <c r="P11" s="21"/>
      <c r="Q11" s="3"/>
      <c r="R11" s="22"/>
      <c r="S11" s="29" t="s">
        <v>16</v>
      </c>
      <c r="T11" s="30" t="n">
        <f aca="false">PI()/4*T10^2*T9</f>
        <v>0.00785398163397448</v>
      </c>
      <c r="U11" s="29" t="s">
        <v>15</v>
      </c>
      <c r="V11" s="29"/>
      <c r="W11" s="26"/>
      <c r="X11" s="3"/>
      <c r="Y11" s="4"/>
      <c r="Z11" s="2"/>
      <c r="AA11" s="2"/>
      <c r="AB11" s="2"/>
      <c r="AC11" s="2"/>
      <c r="AD11" s="2"/>
      <c r="AE11" s="2"/>
      <c r="AF11" s="2"/>
      <c r="AG11" s="2"/>
    </row>
    <row r="12" customFormat="false" ht="15.85" hidden="false" customHeight="true" outlineLevel="0" collapsed="false">
      <c r="B12" s="14"/>
      <c r="C12" s="28"/>
      <c r="D12" s="28"/>
      <c r="E12" s="28"/>
      <c r="F12" s="28"/>
      <c r="G12" s="28"/>
      <c r="H12" s="28"/>
      <c r="I12" s="16"/>
      <c r="K12" s="17"/>
      <c r="L12" s="19"/>
      <c r="M12" s="19"/>
      <c r="N12" s="19"/>
      <c r="O12" s="19"/>
      <c r="P12" s="21"/>
      <c r="Q12" s="3"/>
      <c r="R12" s="22"/>
      <c r="S12" s="24"/>
      <c r="T12" s="24"/>
      <c r="U12" s="24"/>
      <c r="V12" s="24"/>
      <c r="W12" s="26"/>
      <c r="X12" s="3"/>
      <c r="Y12" s="4"/>
      <c r="Z12" s="2"/>
      <c r="AA12" s="2"/>
      <c r="AB12" s="2"/>
      <c r="AC12" s="2"/>
      <c r="AD12" s="2"/>
      <c r="AE12" s="2"/>
      <c r="AF12" s="2"/>
      <c r="AG12" s="2"/>
    </row>
    <row r="13" customFormat="false" ht="15.85" hidden="false" customHeight="true" outlineLevel="0" collapsed="false">
      <c r="B13" s="14"/>
      <c r="C13" s="28"/>
      <c r="D13" s="28"/>
      <c r="E13" s="28"/>
      <c r="F13" s="28"/>
      <c r="G13" s="28"/>
      <c r="H13" s="28"/>
      <c r="I13" s="16"/>
      <c r="K13" s="17"/>
      <c r="L13" s="18" t="s">
        <v>17</v>
      </c>
      <c r="M13" s="19"/>
      <c r="N13" s="19"/>
      <c r="O13" s="19"/>
      <c r="P13" s="21"/>
      <c r="Q13" s="3"/>
      <c r="R13" s="22"/>
      <c r="S13" s="23" t="s">
        <v>18</v>
      </c>
      <c r="T13" s="24"/>
      <c r="U13" s="24"/>
      <c r="V13" s="24"/>
      <c r="W13" s="26"/>
      <c r="X13" s="3"/>
      <c r="Y13" s="4"/>
      <c r="Z13" s="2"/>
      <c r="AA13" s="2"/>
      <c r="AB13" s="2"/>
      <c r="AC13" s="2"/>
      <c r="AD13" s="2"/>
      <c r="AE13" s="2"/>
      <c r="AF13" s="2"/>
      <c r="AG13" s="2"/>
    </row>
    <row r="14" customFormat="false" ht="15.85" hidden="false" customHeight="true" outlineLevel="0" collapsed="false">
      <c r="B14" s="14"/>
      <c r="C14" s="28"/>
      <c r="D14" s="28"/>
      <c r="E14" s="28"/>
      <c r="F14" s="28"/>
      <c r="G14" s="28"/>
      <c r="H14" s="28"/>
      <c r="I14" s="16"/>
      <c r="K14" s="17"/>
      <c r="L14" s="27" t="s">
        <v>19</v>
      </c>
      <c r="M14" s="27" t="n">
        <v>12</v>
      </c>
      <c r="N14" s="27" t="s">
        <v>4</v>
      </c>
      <c r="O14" s="27"/>
      <c r="P14" s="21"/>
      <c r="Q14" s="3"/>
      <c r="R14" s="22"/>
      <c r="S14" s="27" t="s">
        <v>20</v>
      </c>
      <c r="T14" s="27" t="n">
        <v>36</v>
      </c>
      <c r="U14" s="27" t="s">
        <v>4</v>
      </c>
      <c r="V14" s="27"/>
      <c r="W14" s="26"/>
      <c r="X14" s="3"/>
      <c r="Y14" s="4"/>
      <c r="Z14" s="2"/>
      <c r="AA14" s="2"/>
      <c r="AB14" s="2"/>
      <c r="AC14" s="2"/>
      <c r="AD14" s="2"/>
      <c r="AE14" s="2"/>
      <c r="AF14" s="2"/>
      <c r="AG14" s="2"/>
    </row>
    <row r="15" customFormat="false" ht="15.85" hidden="false" customHeight="true" outlineLevel="0" collapsed="false">
      <c r="B15" s="14"/>
      <c r="C15" s="28"/>
      <c r="D15" s="28"/>
      <c r="E15" s="28"/>
      <c r="F15" s="28"/>
      <c r="G15" s="28"/>
      <c r="H15" s="28"/>
      <c r="I15" s="16"/>
      <c r="K15" s="17"/>
      <c r="L15" s="27" t="s">
        <v>21</v>
      </c>
      <c r="M15" s="27" t="n">
        <v>0.3125</v>
      </c>
      <c r="N15" s="27" t="s">
        <v>4</v>
      </c>
      <c r="O15" s="27"/>
      <c r="P15" s="21"/>
      <c r="Q15" s="3"/>
      <c r="R15" s="22"/>
      <c r="S15" s="27" t="s">
        <v>22</v>
      </c>
      <c r="T15" s="27" t="n">
        <v>0.225</v>
      </c>
      <c r="U15" s="27" t="s">
        <v>4</v>
      </c>
      <c r="V15" s="27"/>
      <c r="W15" s="26"/>
      <c r="X15" s="3"/>
      <c r="Y15" s="4"/>
      <c r="Z15" s="2"/>
      <c r="AA15" s="2"/>
      <c r="AB15" s="2"/>
      <c r="AC15" s="2"/>
      <c r="AD15" s="2"/>
      <c r="AE15" s="2"/>
      <c r="AF15" s="2"/>
      <c r="AG15" s="2"/>
    </row>
    <row r="16" customFormat="false" ht="15.85" hidden="false" customHeight="true" outlineLevel="0" collapsed="false">
      <c r="B16" s="14"/>
      <c r="C16" s="28"/>
      <c r="D16" s="28"/>
      <c r="E16" s="28"/>
      <c r="F16" s="28"/>
      <c r="G16" s="28"/>
      <c r="H16" s="28"/>
      <c r="I16" s="16"/>
      <c r="K16" s="17"/>
      <c r="L16" s="27" t="s">
        <v>23</v>
      </c>
      <c r="M16" s="31" t="n">
        <v>3.94E-006</v>
      </c>
      <c r="N16" s="27" t="s">
        <v>4</v>
      </c>
      <c r="O16" s="27"/>
      <c r="P16" s="21"/>
      <c r="Q16" s="3"/>
      <c r="R16" s="22"/>
      <c r="S16" s="27" t="s">
        <v>24</v>
      </c>
      <c r="T16" s="31" t="n">
        <v>3.94E-006</v>
      </c>
      <c r="U16" s="27" t="s">
        <v>4</v>
      </c>
      <c r="V16" s="27"/>
      <c r="W16" s="26"/>
      <c r="X16" s="3"/>
      <c r="Y16" s="4"/>
      <c r="Z16" s="2"/>
      <c r="AA16" s="2"/>
      <c r="AB16" s="2"/>
      <c r="AC16" s="32"/>
      <c r="AD16" s="33"/>
      <c r="AE16" s="33"/>
      <c r="AF16" s="2"/>
      <c r="AG16" s="2"/>
    </row>
    <row r="17" customFormat="false" ht="15.85" hidden="false" customHeight="true" outlineLevel="0" collapsed="false">
      <c r="B17" s="14"/>
      <c r="C17" s="28"/>
      <c r="D17" s="28"/>
      <c r="E17" s="28"/>
      <c r="F17" s="28"/>
      <c r="G17" s="28"/>
      <c r="H17" s="28"/>
      <c r="I17" s="16"/>
      <c r="K17" s="17"/>
      <c r="L17" s="27" t="s">
        <v>25</v>
      </c>
      <c r="M17" s="27" t="n">
        <v>0.5</v>
      </c>
      <c r="N17" s="27"/>
      <c r="O17" s="27"/>
      <c r="P17" s="21"/>
      <c r="Q17" s="3"/>
      <c r="R17" s="22"/>
      <c r="S17" s="27" t="s">
        <v>26</v>
      </c>
      <c r="T17" s="27" t="n">
        <v>0.5</v>
      </c>
      <c r="U17" s="27"/>
      <c r="V17" s="27"/>
      <c r="W17" s="26"/>
      <c r="X17" s="3"/>
      <c r="Y17" s="4"/>
      <c r="Z17" s="2"/>
      <c r="AA17" s="2"/>
      <c r="AB17" s="2"/>
      <c r="AC17" s="32"/>
      <c r="AD17" s="33"/>
      <c r="AE17" s="33"/>
      <c r="AF17" s="2"/>
      <c r="AG17" s="2"/>
    </row>
    <row r="18" customFormat="false" ht="15.85" hidden="false" customHeight="true" outlineLevel="0" collapsed="false">
      <c r="B18" s="34"/>
      <c r="C18" s="35"/>
      <c r="D18" s="35"/>
      <c r="E18" s="35"/>
      <c r="F18" s="35"/>
      <c r="G18" s="35"/>
      <c r="H18" s="35"/>
      <c r="I18" s="36"/>
      <c r="K18" s="17"/>
      <c r="L18" s="27" t="s">
        <v>27</v>
      </c>
      <c r="M18" s="27" t="n">
        <v>1.6</v>
      </c>
      <c r="N18" s="27"/>
      <c r="O18" s="27"/>
      <c r="P18" s="21"/>
      <c r="Q18" s="3"/>
      <c r="R18" s="22"/>
      <c r="S18" s="27" t="s">
        <v>28</v>
      </c>
      <c r="T18" s="27" t="n">
        <v>1.6</v>
      </c>
      <c r="U18" s="27"/>
      <c r="V18" s="27"/>
      <c r="W18" s="26"/>
      <c r="X18" s="3"/>
      <c r="Y18" s="4"/>
      <c r="Z18" s="2"/>
      <c r="AA18" s="2"/>
      <c r="AB18" s="2"/>
      <c r="AC18" s="33"/>
      <c r="AD18" s="33"/>
      <c r="AE18" s="33"/>
      <c r="AF18" s="2"/>
      <c r="AG18" s="2"/>
    </row>
    <row r="19" customFormat="false" ht="15.85" hidden="false" customHeight="true" outlineLevel="0" collapsed="false">
      <c r="B19" s="37" t="s">
        <v>29</v>
      </c>
      <c r="K19" s="17"/>
      <c r="L19" s="27" t="s">
        <v>30</v>
      </c>
      <c r="M19" s="27" t="n">
        <v>0</v>
      </c>
      <c r="N19" s="27"/>
      <c r="O19" s="27"/>
      <c r="P19" s="21"/>
      <c r="Q19" s="3"/>
      <c r="R19" s="22"/>
      <c r="S19" s="27" t="s">
        <v>31</v>
      </c>
      <c r="T19" s="27" t="n">
        <v>2</v>
      </c>
      <c r="U19" s="27"/>
      <c r="V19" s="27"/>
      <c r="W19" s="26"/>
      <c r="X19" s="3"/>
      <c r="Y19" s="4"/>
      <c r="Z19" s="2"/>
      <c r="AA19" s="2"/>
      <c r="AB19" s="2"/>
      <c r="AC19" s="2"/>
      <c r="AD19" s="2"/>
      <c r="AE19" s="2"/>
      <c r="AF19" s="2"/>
      <c r="AG19" s="2"/>
    </row>
    <row r="20" customFormat="false" ht="15.85" hidden="false" customHeight="true" outlineLevel="0" collapsed="false">
      <c r="B20" s="38"/>
      <c r="C20" s="39"/>
      <c r="D20" s="39"/>
      <c r="E20" s="39"/>
      <c r="F20" s="39"/>
      <c r="G20" s="39"/>
      <c r="H20" s="39"/>
      <c r="I20" s="40"/>
      <c r="K20" s="17"/>
      <c r="L20" s="27" t="s">
        <v>32</v>
      </c>
      <c r="M20" s="27" t="n">
        <v>0.8</v>
      </c>
      <c r="N20" s="27"/>
      <c r="O20" s="27"/>
      <c r="P20" s="21"/>
      <c r="Q20" s="3"/>
      <c r="R20" s="22"/>
      <c r="S20" s="27" t="s">
        <v>33</v>
      </c>
      <c r="T20" s="27" t="n">
        <v>0.8</v>
      </c>
      <c r="U20" s="27"/>
      <c r="V20" s="27"/>
      <c r="W20" s="26"/>
      <c r="X20" s="3"/>
      <c r="Y20" s="4"/>
      <c r="Z20" s="2"/>
      <c r="AA20" s="2"/>
      <c r="AB20" s="2"/>
      <c r="AC20" s="2"/>
      <c r="AD20" s="2"/>
      <c r="AE20" s="2"/>
      <c r="AF20" s="2"/>
      <c r="AG20" s="2"/>
    </row>
    <row r="21" customFormat="false" ht="15.85" hidden="false" customHeight="true" outlineLevel="0" collapsed="false">
      <c r="B21" s="41"/>
      <c r="C21" s="42" t="s">
        <v>34</v>
      </c>
      <c r="D21" s="43"/>
      <c r="E21" s="43"/>
      <c r="F21" s="43"/>
      <c r="G21" s="43"/>
      <c r="H21" s="43"/>
      <c r="I21" s="44"/>
      <c r="K21" s="45"/>
      <c r="L21" s="46"/>
      <c r="M21" s="46"/>
      <c r="N21" s="46"/>
      <c r="O21" s="46"/>
      <c r="P21" s="47"/>
      <c r="R21" s="22"/>
      <c r="S21" s="27" t="s">
        <v>35</v>
      </c>
      <c r="T21" s="27" t="n">
        <v>15</v>
      </c>
      <c r="U21" s="27" t="s">
        <v>36</v>
      </c>
      <c r="V21" s="27"/>
      <c r="W21" s="26"/>
      <c r="X21" s="3"/>
      <c r="Y21" s="4"/>
      <c r="Z21" s="2"/>
      <c r="AA21" s="2"/>
      <c r="AB21" s="2"/>
      <c r="AC21" s="32"/>
      <c r="AD21" s="33"/>
      <c r="AE21" s="33"/>
      <c r="AF21" s="2"/>
      <c r="AG21" s="2"/>
    </row>
    <row r="22" customFormat="false" ht="15.85" hidden="false" customHeight="true" outlineLevel="0" collapsed="false">
      <c r="B22" s="41"/>
      <c r="C22" s="27" t="s">
        <v>37</v>
      </c>
      <c r="D22" s="48" t="s">
        <v>38</v>
      </c>
      <c r="E22" s="49" t="s">
        <v>39</v>
      </c>
      <c r="F22" s="48" t="s">
        <v>40</v>
      </c>
      <c r="G22" s="27" t="s">
        <v>41</v>
      </c>
      <c r="H22" s="27" t="s">
        <v>42</v>
      </c>
      <c r="I22" s="44"/>
      <c r="R22" s="50"/>
      <c r="S22" s="51"/>
      <c r="T22" s="51"/>
      <c r="U22" s="51"/>
      <c r="V22" s="51"/>
      <c r="W22" s="52"/>
      <c r="X22" s="3"/>
      <c r="Y22" s="4"/>
      <c r="Z22" s="2"/>
      <c r="AA22" s="2"/>
      <c r="AB22" s="2"/>
      <c r="AC22" s="32"/>
      <c r="AD22" s="33"/>
      <c r="AE22" s="33"/>
      <c r="AF22" s="2"/>
      <c r="AG22" s="2"/>
    </row>
    <row r="23" customFormat="false" ht="15.85" hidden="false" customHeight="true" outlineLevel="0" collapsed="false">
      <c r="B23" s="41"/>
      <c r="C23" s="27" t="s">
        <v>43</v>
      </c>
      <c r="D23" s="53" t="n">
        <v>1</v>
      </c>
      <c r="E23" s="54" t="n">
        <v>1.5</v>
      </c>
      <c r="F23" s="53" t="n">
        <v>0.1</v>
      </c>
      <c r="G23" s="54" t="n">
        <v>1</v>
      </c>
      <c r="H23" s="27" t="n">
        <f aca="false">(E23-D23)/F23 + 1</f>
        <v>6</v>
      </c>
      <c r="I23" s="44"/>
      <c r="K23" s="38"/>
      <c r="L23" s="39"/>
      <c r="M23" s="39"/>
      <c r="N23" s="39"/>
      <c r="O23" s="39"/>
      <c r="P23" s="40"/>
      <c r="X23" s="3"/>
      <c r="Y23" s="4"/>
      <c r="AF23" s="2"/>
      <c r="AG23" s="2"/>
    </row>
    <row r="24" customFormat="false" ht="15.85" hidden="false" customHeight="true" outlineLevel="0" collapsed="false">
      <c r="B24" s="41"/>
      <c r="C24" s="27" t="s">
        <v>44</v>
      </c>
      <c r="D24" s="53" t="n">
        <v>0.6</v>
      </c>
      <c r="E24" s="54" t="n">
        <v>0.9</v>
      </c>
      <c r="F24" s="53" t="n">
        <v>0.1</v>
      </c>
      <c r="G24" s="54" t="n">
        <v>1</v>
      </c>
      <c r="H24" s="27" t="n">
        <f aca="false">(E24-D24)/F24 + 1</f>
        <v>4</v>
      </c>
      <c r="I24" s="44"/>
      <c r="K24" s="41"/>
      <c r="L24" s="55" t="s">
        <v>45</v>
      </c>
      <c r="M24" s="56"/>
      <c r="N24" s="56"/>
      <c r="O24" s="57" t="s">
        <v>1</v>
      </c>
      <c r="P24" s="44"/>
      <c r="X24" s="3"/>
      <c r="Y24" s="4"/>
      <c r="AF24" s="2"/>
      <c r="AG24" s="2"/>
    </row>
    <row r="25" customFormat="false" ht="15.85" hidden="false" customHeight="true" outlineLevel="0" collapsed="false">
      <c r="B25" s="41"/>
      <c r="C25" s="56"/>
      <c r="D25" s="56"/>
      <c r="E25" s="56"/>
      <c r="F25" s="56"/>
      <c r="G25" s="56"/>
      <c r="H25" s="56"/>
      <c r="I25" s="44"/>
      <c r="K25" s="41"/>
      <c r="L25" s="27" t="s">
        <v>46</v>
      </c>
      <c r="M25" s="27" t="n">
        <v>3</v>
      </c>
      <c r="N25" s="27" t="s">
        <v>4</v>
      </c>
      <c r="O25" s="27"/>
      <c r="P25" s="58"/>
      <c r="Q25" s="3"/>
      <c r="X25" s="3"/>
      <c r="Y25" s="4"/>
      <c r="AF25" s="2"/>
      <c r="AG25" s="2"/>
    </row>
    <row r="26" customFormat="false" ht="15.85" hidden="false" customHeight="true" outlineLevel="0" collapsed="false">
      <c r="B26" s="41"/>
      <c r="C26" s="55" t="s">
        <v>47</v>
      </c>
      <c r="D26" s="59" t="s">
        <v>48</v>
      </c>
      <c r="E26" s="59"/>
      <c r="F26" s="59" t="s">
        <v>49</v>
      </c>
      <c r="G26" s="59"/>
      <c r="H26" s="60" t="s">
        <v>1</v>
      </c>
      <c r="I26" s="44"/>
      <c r="K26" s="41"/>
      <c r="L26" s="27" t="s">
        <v>50</v>
      </c>
      <c r="M26" s="27" t="n">
        <v>0.065</v>
      </c>
      <c r="N26" s="27" t="s">
        <v>4</v>
      </c>
      <c r="O26" s="27"/>
      <c r="P26" s="58"/>
      <c r="Q26" s="4"/>
      <c r="X26" s="3"/>
      <c r="Y26" s="4"/>
      <c r="AF26" s="2"/>
      <c r="AG26" s="2"/>
    </row>
    <row r="27" customFormat="false" ht="15.85" hidden="false" customHeight="true" outlineLevel="0" collapsed="false">
      <c r="B27" s="41"/>
      <c r="C27" s="27" t="s">
        <v>51</v>
      </c>
      <c r="D27" s="27" t="n">
        <v>0.01</v>
      </c>
      <c r="E27" s="27" t="s">
        <v>52</v>
      </c>
      <c r="F27" s="27"/>
      <c r="G27" s="27"/>
      <c r="H27" s="27"/>
      <c r="I27" s="44"/>
      <c r="K27" s="41"/>
      <c r="L27" s="27" t="s">
        <v>53</v>
      </c>
      <c r="M27" s="27" t="n">
        <v>1.5</v>
      </c>
      <c r="N27" s="27" t="s">
        <v>4</v>
      </c>
      <c r="O27" s="27"/>
      <c r="P27" s="58"/>
      <c r="Q27" s="61"/>
      <c r="X27" s="3"/>
      <c r="Y27" s="4"/>
      <c r="AF27" s="2"/>
      <c r="AG27" s="2"/>
    </row>
    <row r="28" customFormat="false" ht="15.85" hidden="false" customHeight="true" outlineLevel="0" collapsed="false">
      <c r="B28" s="41"/>
      <c r="C28" s="27" t="s">
        <v>54</v>
      </c>
      <c r="D28" s="27" t="n">
        <v>30</v>
      </c>
      <c r="E28" s="27" t="s">
        <v>52</v>
      </c>
      <c r="F28" s="27"/>
      <c r="G28" s="27"/>
      <c r="H28" s="27"/>
      <c r="I28" s="44"/>
      <c r="K28" s="41"/>
      <c r="L28" s="27" t="s">
        <v>55</v>
      </c>
      <c r="M28" s="27" t="n">
        <v>3</v>
      </c>
      <c r="N28" s="27" t="s">
        <v>4</v>
      </c>
      <c r="O28" s="27"/>
      <c r="P28" s="58"/>
      <c r="Q28" s="61"/>
      <c r="X28" s="3"/>
      <c r="Y28" s="4"/>
      <c r="AF28" s="2"/>
      <c r="AG28" s="2"/>
    </row>
    <row r="29" customFormat="false" ht="15.85" hidden="false" customHeight="true" outlineLevel="0" collapsed="false">
      <c r="B29" s="41"/>
      <c r="C29" s="27" t="s">
        <v>56</v>
      </c>
      <c r="D29" s="27" t="n">
        <v>50</v>
      </c>
      <c r="E29" s="27" t="s">
        <v>57</v>
      </c>
      <c r="F29" s="62" t="n">
        <f aca="false">(D29-32)/1.8</f>
        <v>10</v>
      </c>
      <c r="G29" s="27" t="s">
        <v>58</v>
      </c>
      <c r="H29" s="27" t="s">
        <v>59</v>
      </c>
      <c r="I29" s="44"/>
      <c r="K29" s="41"/>
      <c r="L29" s="27" t="s">
        <v>60</v>
      </c>
      <c r="M29" s="27" t="n">
        <v>0.04</v>
      </c>
      <c r="N29" s="27" t="s">
        <v>4</v>
      </c>
      <c r="O29" s="27"/>
      <c r="P29" s="58"/>
      <c r="Q29" s="61"/>
      <c r="X29" s="3"/>
      <c r="Y29" s="4"/>
      <c r="AF29" s="2"/>
      <c r="AG29" s="2"/>
    </row>
    <row r="30" customFormat="false" ht="15.85" hidden="false" customHeight="true" outlineLevel="0" collapsed="false">
      <c r="B30" s="41"/>
      <c r="C30" s="27" t="s">
        <v>61</v>
      </c>
      <c r="D30" s="27" t="n">
        <v>13.5</v>
      </c>
      <c r="E30" s="27" t="s">
        <v>36</v>
      </c>
      <c r="F30" s="27" t="n">
        <f aca="false">D30*6895</f>
        <v>93082.5</v>
      </c>
      <c r="G30" s="27" t="s">
        <v>62</v>
      </c>
      <c r="H30" s="27" t="s">
        <v>63</v>
      </c>
      <c r="I30" s="44"/>
      <c r="K30" s="41"/>
      <c r="L30" s="27" t="s">
        <v>64</v>
      </c>
      <c r="M30" s="63" t="n">
        <f aca="false">2*M27 + M5+T5</f>
        <v>24</v>
      </c>
      <c r="N30" s="27" t="s">
        <v>4</v>
      </c>
      <c r="O30" s="27"/>
      <c r="P30" s="44"/>
      <c r="Q30" s="61"/>
      <c r="X30" s="3"/>
      <c r="Y30" s="4"/>
      <c r="AF30" s="2"/>
      <c r="AG30" s="2"/>
    </row>
    <row r="31" customFormat="false" ht="15.85" hidden="false" customHeight="true" outlineLevel="0" collapsed="false">
      <c r="B31" s="41"/>
      <c r="C31" s="56"/>
      <c r="D31" s="56"/>
      <c r="E31" s="56"/>
      <c r="F31" s="56"/>
      <c r="G31" s="56"/>
      <c r="H31" s="56"/>
      <c r="I31" s="44"/>
      <c r="K31" s="41"/>
      <c r="L31" s="27" t="s">
        <v>65</v>
      </c>
      <c r="M31" s="64" t="n">
        <f aca="false">M5/T5</f>
        <v>2.11111111111111</v>
      </c>
      <c r="N31" s="27"/>
      <c r="O31" s="27" t="s">
        <v>66</v>
      </c>
      <c r="P31" s="44"/>
      <c r="Q31" s="61"/>
      <c r="X31" s="3"/>
      <c r="Y31" s="4"/>
      <c r="AF31" s="2"/>
      <c r="AG31" s="2"/>
    </row>
    <row r="32" customFormat="false" ht="15.85" hidden="false" customHeight="true" outlineLevel="0" collapsed="false">
      <c r="B32" s="41"/>
      <c r="C32" s="42" t="s">
        <v>67</v>
      </c>
      <c r="D32" s="43"/>
      <c r="E32" s="43"/>
      <c r="F32" s="43"/>
      <c r="G32" s="43"/>
      <c r="H32" s="43"/>
      <c r="I32" s="44"/>
      <c r="K32" s="41"/>
      <c r="L32" s="27" t="s">
        <v>68</v>
      </c>
      <c r="M32" s="63" t="n">
        <f aca="false">M27+M5-M28</f>
        <v>12.75</v>
      </c>
      <c r="N32" s="27" t="s">
        <v>4</v>
      </c>
      <c r="O32" s="27" t="s">
        <v>69</v>
      </c>
      <c r="P32" s="44"/>
      <c r="Q32" s="3"/>
      <c r="X32" s="3"/>
      <c r="Y32" s="4"/>
      <c r="AF32" s="2"/>
      <c r="AG32" s="2"/>
    </row>
    <row r="33" customFormat="false" ht="15.85" hidden="false" customHeight="true" outlineLevel="0" collapsed="false">
      <c r="B33" s="41"/>
      <c r="C33" s="27" t="s">
        <v>70</v>
      </c>
      <c r="D33" s="65" t="s">
        <v>71</v>
      </c>
      <c r="E33" s="65"/>
      <c r="F33" s="66"/>
      <c r="G33" s="66"/>
      <c r="H33" s="66"/>
      <c r="I33" s="44"/>
      <c r="K33" s="41"/>
      <c r="L33" s="56"/>
      <c r="M33" s="56"/>
      <c r="N33" s="56"/>
      <c r="O33" s="56"/>
      <c r="P33" s="44"/>
      <c r="Q33" s="3"/>
      <c r="T33" s="1" t="s">
        <v>72</v>
      </c>
      <c r="Y33" s="2"/>
      <c r="AF33" s="2"/>
      <c r="AG33" s="2"/>
    </row>
    <row r="34" customFormat="false" ht="15.85" hidden="false" customHeight="true" outlineLevel="0" collapsed="false">
      <c r="B34" s="41"/>
      <c r="C34" s="27" t="s">
        <v>73</v>
      </c>
      <c r="D34" s="27"/>
      <c r="E34" s="27"/>
      <c r="F34" s="27" t="n">
        <v>786</v>
      </c>
      <c r="G34" s="27" t="s">
        <v>74</v>
      </c>
      <c r="H34" s="27"/>
      <c r="I34" s="44"/>
      <c r="K34" s="41"/>
      <c r="L34" s="55" t="s">
        <v>75</v>
      </c>
      <c r="M34" s="56"/>
      <c r="N34" s="56"/>
      <c r="O34" s="56"/>
      <c r="P34" s="44"/>
      <c r="Q34" s="3"/>
      <c r="Y34" s="2"/>
      <c r="AF34" s="2"/>
      <c r="AG34" s="2"/>
    </row>
    <row r="35" customFormat="false" ht="15.85" hidden="false" customHeight="true" outlineLevel="0" collapsed="false">
      <c r="B35" s="41"/>
      <c r="C35" s="27" t="s">
        <v>76</v>
      </c>
      <c r="D35" s="27"/>
      <c r="E35" s="27"/>
      <c r="F35" s="27" t="n">
        <v>2.5</v>
      </c>
      <c r="G35" s="27" t="s">
        <v>77</v>
      </c>
      <c r="H35" s="27"/>
      <c r="I35" s="44"/>
      <c r="K35" s="67"/>
      <c r="L35" s="27" t="s">
        <v>78</v>
      </c>
      <c r="M35" s="27" t="n">
        <v>1.5</v>
      </c>
      <c r="N35" s="27" t="s">
        <v>4</v>
      </c>
      <c r="O35" s="27"/>
      <c r="P35" s="44"/>
      <c r="Q35" s="4"/>
      <c r="Y35" s="2"/>
      <c r="AF35" s="2"/>
      <c r="AG35" s="2"/>
    </row>
    <row r="36" customFormat="false" ht="15.85" hidden="false" customHeight="true" outlineLevel="0" collapsed="false">
      <c r="B36" s="41"/>
      <c r="C36" s="27" t="s">
        <v>79</v>
      </c>
      <c r="D36" s="27"/>
      <c r="E36" s="27"/>
      <c r="F36" s="27" t="n">
        <v>0.07</v>
      </c>
      <c r="G36" s="27" t="s">
        <v>77</v>
      </c>
      <c r="H36" s="27" t="s">
        <v>80</v>
      </c>
      <c r="I36" s="44"/>
      <c r="K36" s="67"/>
      <c r="L36" s="27" t="s">
        <v>81</v>
      </c>
      <c r="M36" s="27" t="n">
        <v>0.25</v>
      </c>
      <c r="N36" s="27" t="s">
        <v>4</v>
      </c>
      <c r="O36" s="27"/>
      <c r="P36" s="44"/>
      <c r="Y36" s="2"/>
      <c r="AF36" s="2"/>
      <c r="AG36" s="2"/>
    </row>
    <row r="37" customFormat="false" ht="15.85" hidden="false" customHeight="true" outlineLevel="0" collapsed="false">
      <c r="B37" s="41"/>
      <c r="C37" s="43"/>
      <c r="D37" s="43"/>
      <c r="E37" s="43"/>
      <c r="F37" s="43"/>
      <c r="G37" s="43"/>
      <c r="H37" s="43"/>
      <c r="I37" s="44"/>
      <c r="K37" s="67"/>
      <c r="L37" s="27" t="s">
        <v>82</v>
      </c>
      <c r="M37" s="27" t="n">
        <v>4</v>
      </c>
      <c r="N37" s="27" t="s">
        <v>4</v>
      </c>
      <c r="O37" s="27"/>
      <c r="P37" s="44"/>
      <c r="Y37" s="2"/>
      <c r="AF37" s="2"/>
      <c r="AG37" s="2"/>
    </row>
    <row r="38" customFormat="false" ht="15.85" hidden="false" customHeight="true" outlineLevel="0" collapsed="false">
      <c r="B38" s="41"/>
      <c r="C38" s="55" t="s">
        <v>83</v>
      </c>
      <c r="D38" s="56"/>
      <c r="E38" s="56"/>
      <c r="F38" s="56"/>
      <c r="G38" s="56"/>
      <c r="H38" s="43"/>
      <c r="I38" s="44"/>
      <c r="K38" s="67"/>
      <c r="L38" s="43"/>
      <c r="M38" s="43"/>
      <c r="N38" s="43"/>
      <c r="O38" s="43"/>
      <c r="P38" s="44"/>
    </row>
    <row r="39" customFormat="false" ht="15.85" hidden="false" customHeight="true" outlineLevel="0" collapsed="false">
      <c r="B39" s="41"/>
      <c r="C39" s="27" t="s">
        <v>84</v>
      </c>
      <c r="D39" s="27" t="n">
        <v>0.65</v>
      </c>
      <c r="E39" s="27"/>
      <c r="F39" s="27"/>
      <c r="G39" s="27"/>
      <c r="H39" s="27"/>
      <c r="I39" s="44"/>
      <c r="K39" s="67"/>
      <c r="L39" s="55" t="s">
        <v>85</v>
      </c>
      <c r="M39" s="56"/>
      <c r="N39" s="56"/>
      <c r="O39" s="56"/>
      <c r="P39" s="44"/>
    </row>
    <row r="40" customFormat="false" ht="15.85" hidden="false" customHeight="true" outlineLevel="0" collapsed="false">
      <c r="B40" s="41"/>
      <c r="C40" s="27" t="s">
        <v>86</v>
      </c>
      <c r="D40" s="27" t="n">
        <v>0.95</v>
      </c>
      <c r="E40" s="27"/>
      <c r="F40" s="27"/>
      <c r="G40" s="27"/>
      <c r="H40" s="27"/>
      <c r="I40" s="44"/>
      <c r="K40" s="41"/>
      <c r="L40" s="27" t="s">
        <v>44</v>
      </c>
      <c r="M40" s="27" t="n">
        <v>0.75</v>
      </c>
      <c r="N40" s="27" t="s">
        <v>4</v>
      </c>
      <c r="O40" s="27"/>
      <c r="P40" s="44"/>
    </row>
    <row r="41" customFormat="false" ht="15.85" hidden="false" customHeight="true" outlineLevel="0" collapsed="false">
      <c r="B41" s="41"/>
      <c r="C41" s="27" t="s">
        <v>87</v>
      </c>
      <c r="D41" s="27" t="n">
        <v>0.7</v>
      </c>
      <c r="E41" s="27"/>
      <c r="F41" s="27"/>
      <c r="G41" s="27"/>
      <c r="H41" s="27"/>
      <c r="I41" s="44"/>
      <c r="K41" s="41"/>
      <c r="L41" s="27" t="s">
        <v>43</v>
      </c>
      <c r="M41" s="27" t="n">
        <v>1.2</v>
      </c>
      <c r="N41" s="27" t="s">
        <v>4</v>
      </c>
      <c r="O41" s="27"/>
      <c r="P41" s="44"/>
    </row>
    <row r="42" customFormat="false" ht="15.85" hidden="false" customHeight="true" outlineLevel="0" collapsed="false">
      <c r="B42" s="41"/>
      <c r="C42" s="27" t="s">
        <v>88</v>
      </c>
      <c r="D42" s="27" t="n">
        <v>0.25</v>
      </c>
      <c r="E42" s="27" t="s">
        <v>89</v>
      </c>
      <c r="F42" s="27"/>
      <c r="G42" s="27"/>
      <c r="H42" s="27"/>
      <c r="I42" s="44"/>
      <c r="K42" s="41"/>
      <c r="L42" s="27" t="s">
        <v>90</v>
      </c>
      <c r="M42" s="27" t="n">
        <v>15</v>
      </c>
      <c r="N42" s="27" t="s">
        <v>91</v>
      </c>
      <c r="O42" s="27"/>
      <c r="P42" s="44"/>
    </row>
    <row r="43" customFormat="false" ht="15.85" hidden="false" customHeight="true" outlineLevel="0" collapsed="false">
      <c r="B43" s="68"/>
      <c r="C43" s="69"/>
      <c r="D43" s="69"/>
      <c r="E43" s="69"/>
      <c r="F43" s="69"/>
      <c r="G43" s="69"/>
      <c r="H43" s="69"/>
      <c r="I43" s="70"/>
      <c r="K43" s="68"/>
      <c r="L43" s="69"/>
      <c r="M43" s="69"/>
      <c r="N43" s="69"/>
      <c r="O43" s="69"/>
      <c r="P43" s="70"/>
    </row>
    <row r="1048576" customFormat="false" ht="12.8" hidden="false" customHeight="true" outlineLevel="0" collapsed="false"/>
  </sheetData>
  <mergeCells count="4">
    <mergeCell ref="D26:E26"/>
    <mergeCell ref="F26:G26"/>
    <mergeCell ref="D33:E33"/>
    <mergeCell ref="F33:H33"/>
  </mergeCells>
  <dataValidations count="5">
    <dataValidation allowBlank="false" errorStyle="stop" operator="between" showDropDown="false" showErrorMessage="false" showInputMessage="false" sqref="D33" type="list">
      <formula1>"Isopropanol,Ethanol,E98,E85"</formula1>
      <formula2>0</formula2>
    </dataValidation>
    <dataValidation allowBlank="false" errorStyle="stop" operator="between" showDropDown="false" showErrorMessage="false" showInputMessage="false" sqref="C25" type="none">
      <formula1>0</formula1>
      <formula2>0</formula2>
    </dataValidation>
    <dataValidation allowBlank="true" error="Pick a value from the list." errorStyle="stop" operator="equal" showDropDown="false" showErrorMessage="true" showInputMessage="false" sqref="G23:G24" type="list">
      <formula1>"0,1"</formula1>
      <formula2>0</formula2>
    </dataValidation>
    <dataValidation allowBlank="false" errorStyle="stop" operator="between" showDropDown="true" showErrorMessage="false" showInputMessage="false" sqref="F23:F24" type="none">
      <formula1>0</formula1>
      <formula2>0</formula2>
    </dataValidation>
    <dataValidation allowBlank="true" error="Pick a value from the list." errorStyle="stop" operator="equal" showDropDown="false" showErrorMessage="true" showInputMessage="false" sqref="C23:C24" type="list">
      <formula1>lists!$A$2:$A$43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45.96"/>
  </cols>
  <sheetData>
    <row r="1" customFormat="false" ht="13.8" hidden="false" customHeight="false" outlineLevel="0" collapsed="false">
      <c r="A1" s="1" t="s">
        <v>92</v>
      </c>
    </row>
    <row r="2" customFormat="false" ht="13.8" hidden="false" customHeight="false" outlineLevel="0" collapsed="false">
      <c r="A2" s="1" t="s">
        <v>51</v>
      </c>
    </row>
    <row r="3" customFormat="false" ht="13.8" hidden="false" customHeight="false" outlineLevel="0" collapsed="false">
      <c r="A3" s="1" t="s">
        <v>54</v>
      </c>
    </row>
    <row r="4" customFormat="false" ht="13.8" hidden="false" customHeight="false" outlineLevel="0" collapsed="false">
      <c r="A4" s="1" t="s">
        <v>56</v>
      </c>
    </row>
    <row r="5" customFormat="false" ht="13.8" hidden="false" customHeight="false" outlineLevel="0" collapsed="false">
      <c r="A5" s="1" t="s">
        <v>61</v>
      </c>
    </row>
    <row r="6" customFormat="false" ht="13.8" hidden="false" customHeight="false" outlineLevel="0" collapsed="false">
      <c r="A6" s="1" t="s">
        <v>73</v>
      </c>
    </row>
    <row r="7" customFormat="false" ht="13.8" hidden="false" customHeight="false" outlineLevel="0" collapsed="false">
      <c r="A7" s="1" t="s">
        <v>76</v>
      </c>
    </row>
    <row r="8" customFormat="false" ht="13.8" hidden="false" customHeight="false" outlineLevel="0" collapsed="false">
      <c r="A8" s="1" t="s">
        <v>79</v>
      </c>
    </row>
    <row r="9" customFormat="false" ht="13.8" hidden="false" customHeight="false" outlineLevel="0" collapsed="false">
      <c r="A9" s="1" t="s">
        <v>84</v>
      </c>
    </row>
    <row r="10" customFormat="false" ht="13.8" hidden="false" customHeight="false" outlineLevel="0" collapsed="false">
      <c r="A10" s="1" t="s">
        <v>86</v>
      </c>
    </row>
    <row r="11" customFormat="false" ht="13.8" hidden="false" customHeight="false" outlineLevel="0" collapsed="false">
      <c r="A11" s="1" t="s">
        <v>87</v>
      </c>
    </row>
    <row r="12" customFormat="false" ht="13.8" hidden="false" customHeight="false" outlineLevel="0" collapsed="false">
      <c r="A12" s="1" t="s">
        <v>88</v>
      </c>
    </row>
    <row r="13" customFormat="false" ht="13.8" hidden="false" customHeight="false" outlineLevel="0" collapsed="false">
      <c r="A13" s="1" t="s">
        <v>3</v>
      </c>
    </row>
    <row r="14" customFormat="false" ht="13.8" hidden="false" customHeight="false" outlineLevel="0" collapsed="false">
      <c r="A14" s="1" t="s">
        <v>8</v>
      </c>
    </row>
    <row r="15" customFormat="false" ht="13.8" hidden="false" customHeight="false" outlineLevel="0" collapsed="false">
      <c r="A15" s="1" t="s">
        <v>10</v>
      </c>
    </row>
    <row r="16" customFormat="false" ht="13.8" hidden="false" customHeight="false" outlineLevel="0" collapsed="false">
      <c r="A16" s="1" t="s">
        <v>12</v>
      </c>
    </row>
    <row r="17" customFormat="false" ht="13.8" hidden="false" customHeight="false" outlineLevel="0" collapsed="false">
      <c r="A17" s="1" t="s">
        <v>19</v>
      </c>
    </row>
    <row r="18" customFormat="false" ht="13.8" hidden="false" customHeight="false" outlineLevel="0" collapsed="false">
      <c r="A18" s="1" t="s">
        <v>21</v>
      </c>
    </row>
    <row r="19" customFormat="false" ht="13.8" hidden="false" customHeight="false" outlineLevel="0" collapsed="false">
      <c r="A19" s="1" t="s">
        <v>23</v>
      </c>
    </row>
    <row r="20" customFormat="false" ht="13.8" hidden="false" customHeight="false" outlineLevel="0" collapsed="false">
      <c r="A20" s="1" t="s">
        <v>25</v>
      </c>
    </row>
    <row r="21" customFormat="false" ht="13.8" hidden="false" customHeight="false" outlineLevel="0" collapsed="false">
      <c r="A21" s="1" t="s">
        <v>27</v>
      </c>
    </row>
    <row r="22" customFormat="false" ht="13.8" hidden="false" customHeight="false" outlineLevel="0" collapsed="false">
      <c r="A22" s="1" t="s">
        <v>30</v>
      </c>
    </row>
    <row r="23" customFormat="false" ht="13.8" hidden="false" customHeight="false" outlineLevel="0" collapsed="false">
      <c r="A23" s="1" t="s">
        <v>32</v>
      </c>
    </row>
    <row r="24" customFormat="false" ht="13.8" hidden="false" customHeight="false" outlineLevel="0" collapsed="false">
      <c r="A24" s="1" t="s">
        <v>46</v>
      </c>
    </row>
    <row r="25" customFormat="false" ht="13.8" hidden="false" customHeight="false" outlineLevel="0" collapsed="false">
      <c r="A25" s="1" t="s">
        <v>50</v>
      </c>
    </row>
    <row r="26" customFormat="false" ht="13.8" hidden="false" customHeight="false" outlineLevel="0" collapsed="false">
      <c r="A26" s="1" t="s">
        <v>78</v>
      </c>
    </row>
    <row r="27" customFormat="false" ht="13.8" hidden="false" customHeight="false" outlineLevel="0" collapsed="false">
      <c r="A27" s="1" t="s">
        <v>81</v>
      </c>
    </row>
    <row r="28" customFormat="false" ht="13.8" hidden="false" customHeight="false" outlineLevel="0" collapsed="false">
      <c r="A28" s="1" t="s">
        <v>82</v>
      </c>
    </row>
    <row r="29" customFormat="false" ht="13.8" hidden="false" customHeight="false" outlineLevel="0" collapsed="false">
      <c r="A29" s="1" t="s">
        <v>44</v>
      </c>
    </row>
    <row r="30" customFormat="false" ht="13.8" hidden="false" customHeight="false" outlineLevel="0" collapsed="false">
      <c r="A30" s="1" t="s">
        <v>43</v>
      </c>
    </row>
    <row r="31" customFormat="false" ht="13.8" hidden="false" customHeight="false" outlineLevel="0" collapsed="false">
      <c r="A31" s="1" t="s">
        <v>90</v>
      </c>
    </row>
    <row r="32" customFormat="false" ht="13.8" hidden="false" customHeight="false" outlineLevel="0" collapsed="false">
      <c r="A32" s="1" t="s">
        <v>5</v>
      </c>
    </row>
    <row r="33" customFormat="false" ht="13.8" hidden="false" customHeight="false" outlineLevel="0" collapsed="false">
      <c r="A33" s="1" t="s">
        <v>9</v>
      </c>
    </row>
    <row r="34" customFormat="false" ht="13.8" hidden="false" customHeight="false" outlineLevel="0" collapsed="false">
      <c r="A34" s="1" t="s">
        <v>11</v>
      </c>
    </row>
    <row r="35" customFormat="false" ht="13.8" hidden="false" customHeight="false" outlineLevel="0" collapsed="false">
      <c r="A35" s="1" t="s">
        <v>13</v>
      </c>
    </row>
    <row r="36" customFormat="false" ht="13.8" hidden="false" customHeight="false" outlineLevel="0" collapsed="false">
      <c r="A36" s="1" t="s">
        <v>20</v>
      </c>
    </row>
    <row r="37" customFormat="false" ht="13.8" hidden="false" customHeight="false" outlineLevel="0" collapsed="false">
      <c r="A37" s="1" t="s">
        <v>22</v>
      </c>
    </row>
    <row r="38" customFormat="false" ht="13.8" hidden="false" customHeight="false" outlineLevel="0" collapsed="false">
      <c r="A38" s="1" t="s">
        <v>24</v>
      </c>
    </row>
    <row r="39" customFormat="false" ht="13.8" hidden="false" customHeight="false" outlineLevel="0" collapsed="false">
      <c r="A39" s="1" t="s">
        <v>26</v>
      </c>
    </row>
    <row r="40" customFormat="false" ht="13.8" hidden="false" customHeight="false" outlineLevel="0" collapsed="false">
      <c r="A40" s="1" t="s">
        <v>28</v>
      </c>
    </row>
    <row r="41" customFormat="false" ht="13.8" hidden="false" customHeight="false" outlineLevel="0" collapsed="false">
      <c r="A41" s="1" t="s">
        <v>31</v>
      </c>
    </row>
    <row r="42" customFormat="false" ht="13.8" hidden="false" customHeight="false" outlineLevel="0" collapsed="false">
      <c r="A42" s="1" t="s">
        <v>33</v>
      </c>
    </row>
    <row r="43" customFormat="false" ht="13.8" hidden="false" customHeight="false" outlineLevel="0" collapsed="false">
      <c r="A43" s="1" t="s">
        <v>35</v>
      </c>
    </row>
    <row r="44" customFormat="false" ht="13.8" hidden="false" customHeight="false" outlineLevel="0" collapsed="false"/>
    <row r="45" customFormat="false" ht="13.8" hidden="false" customHeight="false" outlineLevel="0" collapsed="false"/>
    <row r="46" customFormat="false" ht="13.8" hidden="false" customHeight="false" outlineLevel="0" collapsed="false"/>
    <row r="47" customFormat="false" ht="13.8" hidden="false" customHeight="false" outlineLevel="0" collapsed="false"/>
    <row r="48" customFormat="false" ht="13.8" hidden="false" customHeight="false" outlineLevel="0" collapsed="false"/>
    <row r="49" customFormat="false" ht="13.8" hidden="false" customHeight="false" outlineLevel="0" collapsed="false"/>
    <row r="50" customFormat="false" ht="13.8" hidden="false" customHeight="false" outlineLevel="0" collapsed="false"/>
    <row r="51" customFormat="false" ht="13.8" hidden="false" customHeight="false" outlineLevel="0" collapsed="false"/>
    <row r="52" customFormat="false" ht="13.8" hidden="false" customHeight="false" outlineLevel="0" collapsed="false"/>
    <row r="53" customFormat="false" ht="13.8" hidden="false" customHeight="false" outlineLevel="0" collapsed="false"/>
    <row r="54" customFormat="false" ht="13.8" hidden="false" customHeight="false" outlineLevel="0" collapsed="false"/>
    <row r="55" customFormat="false" ht="13.8" hidden="false" customHeight="false" outlineLevel="0" collapsed="false"/>
    <row r="56" customFormat="false" ht="13.8" hidden="false" customHeight="false" outlineLevel="0" collapsed="false"/>
    <row r="57" customFormat="false" ht="13.8" hidden="false" customHeight="false" outlineLevel="0" collapsed="false"/>
    <row r="58" customFormat="false" ht="13.8" hidden="false" customHeight="false" outlineLevel="0" collapsed="false"/>
    <row r="59" customFormat="false" ht="13.8" hidden="false" customHeight="false" outlineLevel="0" collapsed="false"/>
    <row r="60" customFormat="false" ht="13.8" hidden="false" customHeight="false" outlineLevel="0" collapsed="false"/>
    <row r="61" customFormat="false" ht="13.8" hidden="false" customHeight="false" outlineLevel="0" collapsed="false"/>
    <row r="62" customFormat="false" ht="13.8" hidden="false" customHeight="false" outlineLevel="0" collapsed="false"/>
    <row r="63" customFormat="false" ht="13.8" hidden="false" customHeight="false" outlineLevel="0" collapsed="false"/>
    <row r="64" customFormat="false" ht="13.8" hidden="false" customHeight="false" outlineLevel="0" collapsed="false"/>
    <row r="65" customFormat="false" ht="13.8" hidden="false" customHeight="false" outlineLevel="0" collapsed="false"/>
    <row r="66" customFormat="false" ht="13.8" hidden="false" customHeight="false" outlineLevel="0" collapsed="false"/>
    <row r="67" customFormat="false" ht="13.8" hidden="false" customHeight="false" outlineLevel="0" collapsed="false"/>
    <row r="68" customFormat="false" ht="13.8" hidden="false" customHeight="false" outlineLevel="0" collapsed="false"/>
    <row r="69" customFormat="false" ht="13.8" hidden="false" customHeight="false" outlineLevel="0" collapsed="false"/>
    <row r="70" customFormat="false" ht="13.8" hidden="false" customHeight="false" outlineLevel="0" collapsed="false"/>
    <row r="71" customFormat="false" ht="13.8" hidden="false" customHeight="false" outlineLevel="0" collapsed="false"/>
    <row r="72" customFormat="false" ht="13.8" hidden="false" customHeight="false" outlineLevel="0" collapsed="false"/>
    <row r="73" customFormat="false" ht="13.8" hidden="false" customHeight="false" outlineLevel="0" collapsed="false"/>
    <row r="74" customFormat="false" ht="13.8" hidden="false" customHeight="false" outlineLevel="0" collapsed="false"/>
    <row r="75" customFormat="false" ht="13.8" hidden="false" customHeight="false" outlineLevel="0" collapsed="false"/>
    <row r="76" customFormat="false" ht="13.8" hidden="false" customHeight="false" outlineLevel="0" collapsed="false"/>
    <row r="77" customFormat="false" ht="13.8" hidden="false" customHeight="false" outlineLevel="0" collapsed="false"/>
    <row r="78" customFormat="false" ht="13.8" hidden="false" customHeight="false" outlineLevel="0" collapsed="false"/>
    <row r="79" customFormat="false" ht="13.8" hidden="false" customHeight="false" outlineLevel="0" collapsed="false"/>
    <row r="80" customFormat="false" ht="13.8" hidden="false" customHeight="false" outlineLevel="0" collapsed="false"/>
    <row r="81" customFormat="false" ht="13.8" hidden="false" customHeight="false" outlineLevel="0" collapsed="false"/>
    <row r="82" customFormat="false" ht="13.8" hidden="false" customHeight="false" outlineLevel="0" collapsed="false"/>
    <row r="83" customFormat="false" ht="13.8" hidden="false" customHeight="false" outlineLevel="0" collapsed="false"/>
    <row r="84" customFormat="false" ht="13.8" hidden="false" customHeight="false" outlineLevel="0" collapsed="false"/>
    <row r="85" customFormat="false" ht="13.8" hidden="false" customHeight="false" outlineLevel="0" collapsed="false"/>
    <row r="86" customFormat="false" ht="13.8" hidden="false" customHeight="false" outlineLevel="0" collapsed="false"/>
    <row r="87" customFormat="false" ht="13.8" hidden="false" customHeight="false" outlineLevel="0" collapsed="false"/>
    <row r="88" customFormat="false" ht="13.8" hidden="false" customHeight="false" outlineLevel="0" collapsed="false"/>
    <row r="89" customFormat="false" ht="13.8" hidden="false" customHeight="false" outlineLevel="0" collapsed="false"/>
    <row r="90" customFormat="false" ht="13.8" hidden="false" customHeight="false" outlineLevel="0" collapsed="false"/>
    <row r="91" customFormat="false" ht="13.8" hidden="false" customHeight="false" outlineLevel="0" collapsed="false"/>
    <row r="92" customFormat="false" ht="13.8" hidden="false" customHeight="false" outlineLevel="0" collapsed="false"/>
    <row r="93" customFormat="false" ht="13.8" hidden="false" customHeight="false" outlineLevel="0" collapsed="false"/>
    <row r="94" customFormat="false" ht="13.8" hidden="false" customHeight="false" outlineLevel="0" collapsed="false"/>
    <row r="95" customFormat="false" ht="13.8" hidden="false" customHeight="false" outlineLevel="0" collapsed="false"/>
    <row r="96" customFormat="false" ht="13.8" hidden="false" customHeight="false" outlineLevel="0" collapsed="false"/>
    <row r="97" customFormat="false" ht="13.8" hidden="false" customHeight="false" outlineLevel="0" collapsed="false"/>
    <row r="98" customFormat="false" ht="13.8" hidden="false" customHeight="false" outlineLevel="0" collapsed="false"/>
    <row r="99" customFormat="false" ht="13.8" hidden="false" customHeight="false" outlineLevel="0" collapsed="false"/>
    <row r="100" customFormat="false" ht="13.8" hidden="false" customHeight="false" outlineLevel="0" collapsed="false"/>
    <row r="101" customFormat="false" ht="13.8" hidden="false" customHeight="false" outlineLevel="0" collapsed="false"/>
    <row r="102" customFormat="false" ht="13.8" hidden="false" customHeight="false" outlineLevel="0" collapsed="false"/>
    <row r="103" customFormat="false" ht="13.8" hidden="false" customHeight="false" outlineLevel="0" collapsed="false"/>
    <row r="104" customFormat="false" ht="13.8" hidden="false" customHeight="false" outlineLevel="0" collapsed="false"/>
    <row r="105" customFormat="false" ht="13.8" hidden="false" customHeight="false" outlineLevel="0" collapsed="false"/>
    <row r="106" customFormat="false" ht="13.8" hidden="false" customHeight="false" outlineLevel="0" collapsed="false"/>
    <row r="107" customFormat="false" ht="13.8" hidden="false" customHeight="false" outlineLevel="0" collapsed="false"/>
    <row r="108" customFormat="false" ht="13.8" hidden="false" customHeight="false" outlineLevel="0" collapsed="false"/>
    <row r="109" customFormat="false" ht="13.8" hidden="false" customHeight="false" outlineLevel="0" collapsed="false"/>
    <row r="110" customFormat="false" ht="13.8" hidden="false" customHeight="false" outlineLevel="0" collapsed="false"/>
    <row r="111" customFormat="false" ht="13.8" hidden="false" customHeight="false" outlineLevel="0" collapsed="false"/>
    <row r="112" customFormat="false" ht="13.8" hidden="false" customHeight="false" outlineLevel="0" collapsed="false"/>
    <row r="113" customFormat="false" ht="13.8" hidden="false" customHeight="false" outlineLevel="0" collapsed="false"/>
    <row r="114" customFormat="false" ht="13.8" hidden="false" customHeight="false" outlineLevel="0" collapsed="false"/>
    <row r="115" customFormat="false" ht="13.8" hidden="false" customHeight="false" outlineLevel="0" collapsed="false"/>
    <row r="116" customFormat="false" ht="13.8" hidden="false" customHeight="false" outlineLevel="0" collapsed="false"/>
    <row r="117" customFormat="false" ht="13.8" hidden="false" customHeight="false" outlineLevel="0" collapsed="false"/>
    <row r="118" customFormat="false" ht="13.8" hidden="false" customHeight="false" outlineLevel="0" collapsed="false"/>
    <row r="119" customFormat="false" ht="13.8" hidden="false" customHeight="false" outlineLevel="0" collapsed="false"/>
    <row r="120" customFormat="false" ht="13.8" hidden="false" customHeight="false" outlineLevel="0" collapsed="false"/>
    <row r="121" customFormat="false" ht="13.8" hidden="false" customHeight="false" outlineLevel="0" collapsed="false"/>
    <row r="122" customFormat="false" ht="13.8" hidden="false" customHeight="false" outlineLevel="0" collapsed="false"/>
    <row r="123" customFormat="false" ht="13.8" hidden="false" customHeight="false" outlineLevel="0" collapsed="false"/>
    <row r="124" customFormat="false" ht="13.8" hidden="false" customHeight="false" outlineLevel="0" collapsed="false"/>
    <row r="125" customFormat="false" ht="13.8" hidden="false" customHeight="false" outlineLevel="0" collapsed="false"/>
    <row r="126" customFormat="false" ht="13.8" hidden="false" customHeight="false" outlineLevel="0" collapsed="false"/>
    <row r="127" customFormat="false" ht="13.8" hidden="false" customHeight="false" outlineLevel="0" collapsed="false"/>
    <row r="128" customFormat="false" ht="13.8" hidden="false" customHeight="false" outlineLevel="0" collapsed="false"/>
    <row r="129" customFormat="false" ht="13.8" hidden="false" customHeight="false" outlineLevel="0" collapsed="false"/>
    <row r="130" customFormat="false" ht="13.8" hidden="false" customHeight="false" outlineLevel="0" collapsed="false"/>
    <row r="131" customFormat="false" ht="13.8" hidden="false" customHeight="false" outlineLevel="0" collapsed="false"/>
    <row r="132" customFormat="false" ht="13.8" hidden="false" customHeight="false" outlineLevel="0" collapsed="false"/>
    <row r="133" customFormat="false" ht="13.8" hidden="false" customHeight="false" outlineLevel="0" collapsed="false"/>
    <row r="134" customFormat="false" ht="13.8" hidden="false" customHeight="false" outlineLevel="0" collapsed="false"/>
    <row r="135" customFormat="false" ht="13.8" hidden="false" customHeight="false" outlineLevel="0" collapsed="false"/>
    <row r="136" customFormat="false" ht="13.8" hidden="false" customHeight="false" outlineLevel="0" collapsed="false"/>
    <row r="137" customFormat="false" ht="13.8" hidden="false" customHeight="false" outlineLevel="0" collapsed="false"/>
    <row r="138" customFormat="false" ht="13.8" hidden="false" customHeight="false" outlineLevel="0" collapsed="false"/>
    <row r="139" customFormat="false" ht="13.8" hidden="false" customHeight="false" outlineLevel="0" collapsed="false"/>
    <row r="140" customFormat="false" ht="13.8" hidden="false" customHeight="false" outlineLevel="0" collapsed="false"/>
    <row r="141" customFormat="false" ht="13.8" hidden="false" customHeight="false" outlineLevel="0" collapsed="false"/>
    <row r="142" customFormat="false" ht="13.8" hidden="false" customHeight="false" outlineLevel="0" collapsed="false"/>
    <row r="143" customFormat="false" ht="13.8" hidden="false" customHeight="false" outlineLevel="0" collapsed="false"/>
    <row r="144" customFormat="false" ht="13.8" hidden="false" customHeight="false" outlineLevel="0" collapsed="false"/>
    <row r="145" customFormat="false" ht="13.8" hidden="false" customHeight="false" outlineLevel="0" collapsed="false"/>
    <row r="146" customFormat="false" ht="13.8" hidden="false" customHeight="false" outlineLevel="0" collapsed="false"/>
    <row r="147" customFormat="false" ht="13.8" hidden="false" customHeight="false" outlineLevel="0" collapsed="false"/>
    <row r="148" customFormat="false" ht="13.8" hidden="false" customHeight="false" outlineLevel="0" collapsed="false"/>
    <row r="149" customFormat="false" ht="13.8" hidden="false" customHeight="false" outlineLevel="0" collapsed="false"/>
    <row r="150" customFormat="false" ht="13.8" hidden="false" customHeight="false" outlineLevel="0" collapsed="false"/>
    <row r="151" customFormat="false" ht="13.8" hidden="false" customHeight="false" outlineLevel="0" collapsed="false"/>
    <row r="152" customFormat="false" ht="13.8" hidden="false" customHeight="false" outlineLevel="0" collapsed="false"/>
    <row r="153" customFormat="false" ht="13.8" hidden="false" customHeight="false" outlineLevel="0" collapsed="false"/>
    <row r="154" customFormat="false" ht="13.8" hidden="false" customHeight="false" outlineLevel="0" collapsed="false"/>
    <row r="155" customFormat="false" ht="13.8" hidden="false" customHeight="false" outlineLevel="0" collapsed="false"/>
    <row r="156" customFormat="false" ht="13.8" hidden="false" customHeight="false" outlineLevel="0" collapsed="false"/>
    <row r="157" customFormat="false" ht="13.8" hidden="false" customHeight="false" outlineLevel="0" collapsed="false"/>
    <row r="158" customFormat="false" ht="13.8" hidden="false" customHeight="false" outlineLevel="0" collapsed="false"/>
    <row r="159" customFormat="false" ht="13.8" hidden="false" customHeight="false" outlineLevel="0" collapsed="false"/>
    <row r="160" customFormat="false" ht="13.8" hidden="false" customHeight="false" outlineLevel="0" collapsed="false"/>
    <row r="161" customFormat="false" ht="13.8" hidden="false" customHeight="false" outlineLevel="0" collapsed="false"/>
    <row r="162" customFormat="false" ht="13.8" hidden="false" customHeight="false" outlineLevel="0" collapsed="false"/>
    <row r="163" customFormat="false" ht="13.8" hidden="false" customHeight="false" outlineLevel="0" collapsed="false"/>
    <row r="164" customFormat="false" ht="13.8" hidden="false" customHeight="false" outlineLevel="0" collapsed="false"/>
    <row r="165" customFormat="false" ht="13.8" hidden="false" customHeight="false" outlineLevel="0" collapsed="false"/>
    <row r="166" customFormat="false" ht="13.8" hidden="false" customHeight="false" outlineLevel="0" collapsed="false"/>
    <row r="167" customFormat="false" ht="13.8" hidden="false" customHeight="false" outlineLevel="0" collapsed="false"/>
    <row r="168" customFormat="false" ht="13.8" hidden="false" customHeight="false" outlineLevel="0" collapsed="false"/>
    <row r="169" customFormat="false" ht="13.8" hidden="false" customHeight="false" outlineLevel="0" collapsed="false"/>
    <row r="170" customFormat="false" ht="13.8" hidden="false" customHeight="false" outlineLevel="0" collapsed="false"/>
    <row r="171" customFormat="false" ht="13.8" hidden="false" customHeight="false" outlineLevel="0" collapsed="false"/>
    <row r="172" customFormat="false" ht="13.8" hidden="false" customHeight="false" outlineLevel="0" collapsed="false"/>
    <row r="173" customFormat="false" ht="13.8" hidden="false" customHeight="false" outlineLevel="0" collapsed="false"/>
    <row r="174" customFormat="false" ht="13.8" hidden="false" customHeight="false" outlineLevel="0" collapsed="false"/>
    <row r="175" customFormat="false" ht="13.8" hidden="false" customHeight="false" outlineLevel="0" collapsed="false"/>
    <row r="176" customFormat="false" ht="13.8" hidden="false" customHeight="false" outlineLevel="0" collapsed="false"/>
    <row r="177" customFormat="false" ht="13.8" hidden="false" customHeight="false" outlineLevel="0" collapsed="false"/>
    <row r="178" customFormat="false" ht="13.8" hidden="false" customHeight="false" outlineLevel="0" collapsed="false"/>
    <row r="179" customFormat="false" ht="13.8" hidden="false" customHeight="false" outlineLevel="0" collapsed="false"/>
    <row r="180" customFormat="false" ht="13.8" hidden="false" customHeight="false" outlineLevel="0" collapsed="false"/>
    <row r="181" customFormat="false" ht="13.8" hidden="false" customHeight="false" outlineLevel="0" collapsed="false"/>
    <row r="182" customFormat="false" ht="13.8" hidden="false" customHeight="false" outlineLevel="0" collapsed="false"/>
    <row r="183" customFormat="false" ht="13.8" hidden="false" customHeight="false" outlineLevel="0" collapsed="false"/>
    <row r="184" customFormat="false" ht="13.8" hidden="false" customHeight="false" outlineLevel="0" collapsed="false"/>
    <row r="185" customFormat="false" ht="13.8" hidden="false" customHeight="false" outlineLevel="0" collapsed="false"/>
    <row r="186" customFormat="false" ht="13.8" hidden="false" customHeight="false" outlineLevel="0" collapsed="false"/>
    <row r="187" customFormat="false" ht="13.8" hidden="false" customHeight="false" outlineLevel="0" collapsed="false"/>
    <row r="188" customFormat="false" ht="13.8" hidden="false" customHeight="false" outlineLevel="0" collapsed="false"/>
    <row r="189" customFormat="false" ht="13.8" hidden="false" customHeight="false" outlineLevel="0" collapsed="false"/>
    <row r="190" customFormat="false" ht="13.8" hidden="false" customHeight="false" outlineLevel="0" collapsed="false"/>
    <row r="191" customFormat="false" ht="13.8" hidden="false" customHeight="false" outlineLevel="0" collapsed="false"/>
    <row r="192" customFormat="false" ht="13.8" hidden="false" customHeight="false" outlineLevel="0" collapsed="false"/>
    <row r="193" customFormat="false" ht="13.8" hidden="false" customHeight="false" outlineLevel="0" collapsed="false"/>
    <row r="194" customFormat="false" ht="13.8" hidden="false" customHeight="false" outlineLevel="0" collapsed="false"/>
    <row r="195" customFormat="false" ht="13.8" hidden="false" customHeight="false" outlineLevel="0" collapsed="false"/>
    <row r="196" customFormat="false" ht="13.8" hidden="false" customHeight="false" outlineLevel="0" collapsed="false"/>
    <row r="197" customFormat="false" ht="13.8" hidden="false" customHeight="false" outlineLevel="0" collapsed="false"/>
    <row r="198" customFormat="false" ht="13.8" hidden="false" customHeight="false" outlineLevel="0" collapsed="false"/>
    <row r="199" customFormat="false" ht="13.8" hidden="false" customHeight="false" outlineLevel="0" collapsed="false"/>
    <row r="200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4253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2026-10-10T03:28:03Z</dcterms:created>
  <dc:creator>openpyxl</dc:creator>
  <dc:description/>
  <dc:language>en-US</dc:language>
  <cp:lastModifiedBy/>
  <dcterms:modified xsi:type="dcterms:W3CDTF">2026-10-13T20:08:23Z</dcterms:modified>
  <cp:revision>138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